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eld Cata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legacy_field_name</t>
        </is>
      </c>
      <c r="B1" t="inlineStr">
        <is>
          <t>source_sheet</t>
        </is>
      </c>
      <c r="C1" t="inlineStr">
        <is>
          <t>source_system</t>
        </is>
      </c>
      <c r="D1" t="inlineStr">
        <is>
          <t>target_database_field_name</t>
        </is>
      </c>
      <c r="E1" t="inlineStr">
        <is>
          <t>database_field_description</t>
        </is>
      </c>
      <c r="F1" t="inlineStr">
        <is>
          <t>calculated_field</t>
        </is>
      </c>
      <c r="G1" t="inlineStr">
        <is>
          <t>formula_text</t>
        </is>
      </c>
      <c r="H1" t="inlineStr">
        <is>
          <t>source_column_index</t>
        </is>
      </c>
    </row>
    <row r="2">
      <c r="A2" t="inlineStr">
        <is>
          <t>Week #</t>
        </is>
      </c>
      <c r="B2" t="inlineStr">
        <is>
          <t>Collection DB</t>
        </is>
      </c>
      <c r="C2" t="inlineStr">
        <is>
          <t>excel</t>
        </is>
      </c>
      <c r="D2" t="inlineStr">
        <is>
          <t>week_number</t>
        </is>
      </c>
      <c r="E2" t="inlineStr">
        <is>
          <t>Week number from legacy source; stored in pickups.week_number</t>
        </is>
      </c>
      <c r="F2" t="inlineStr">
        <is>
          <t>TRUE</t>
        </is>
      </c>
      <c r="G2">
        <f>WEEKNUM(D2,1)</f>
        <v/>
      </c>
      <c r="H2" t="n">
        <v>1</v>
      </c>
    </row>
    <row r="3">
      <c r="A3" t="inlineStr">
        <is>
          <t>SBUX FY Week #</t>
        </is>
      </c>
      <c r="B3" t="inlineStr">
        <is>
          <t>Collection DB</t>
        </is>
      </c>
      <c r="C3" t="inlineStr">
        <is>
          <t>excel</t>
        </is>
      </c>
      <c r="D3" t="inlineStr">
        <is>
          <t>reporting_only</t>
        </is>
      </c>
      <c r="E3" t="inlineStr"/>
      <c r="F3" t="inlineStr">
        <is>
          <t>TRUE</t>
        </is>
      </c>
      <c r="G3">
        <f>WEEKNUM(C2,1)</f>
        <v/>
      </c>
      <c r="H3" t="n">
        <v>2</v>
      </c>
    </row>
    <row r="4">
      <c r="A4" t="inlineStr">
        <is>
          <t>FY Week # Helper</t>
        </is>
      </c>
      <c r="B4" t="inlineStr">
        <is>
          <t>Collection DB</t>
        </is>
      </c>
      <c r="C4" t="inlineStr">
        <is>
          <t>excel</t>
        </is>
      </c>
      <c r="D4" t="inlineStr">
        <is>
          <t>reporting_only</t>
        </is>
      </c>
      <c r="E4" t="inlineStr"/>
      <c r="F4" t="inlineStr">
        <is>
          <t>TRUE</t>
        </is>
      </c>
      <c r="G4">
        <f>D2+92</f>
        <v/>
      </c>
      <c r="H4" t="n">
        <v>3</v>
      </c>
    </row>
    <row r="5">
      <c r="A5" t="inlineStr">
        <is>
          <t>Date</t>
        </is>
      </c>
      <c r="B5" t="inlineStr">
        <is>
          <t>Collection DB</t>
        </is>
      </c>
      <c r="C5" t="inlineStr">
        <is>
          <t>excel</t>
        </is>
      </c>
      <c r="D5" t="inlineStr">
        <is>
          <t>pickup_date</t>
        </is>
      </c>
      <c r="E5" t="inlineStr">
        <is>
          <t>Collection date; stored in pickups.pickup_date</t>
        </is>
      </c>
      <c r="F5" t="inlineStr">
        <is>
          <t>FALSE</t>
        </is>
      </c>
      <c r="G5" t="inlineStr"/>
      <c r="H5" t="n">
        <v>4</v>
      </c>
    </row>
    <row r="6">
      <c r="A6" t="inlineStr">
        <is>
          <t>Day of the week</t>
        </is>
      </c>
      <c r="B6" t="inlineStr">
        <is>
          <t>Collection DB</t>
        </is>
      </c>
      <c r="C6" t="inlineStr">
        <is>
          <t>excel</t>
        </is>
      </c>
      <c r="D6" t="inlineStr">
        <is>
          <t>reporting_only</t>
        </is>
      </c>
      <c r="E6" t="inlineStr"/>
      <c r="F6" t="inlineStr">
        <is>
          <t>TRUE</t>
        </is>
      </c>
      <c r="G6">
        <f>TEXT(D2,"dddd")</f>
        <v/>
      </c>
      <c r="H6" t="n">
        <v>5</v>
      </c>
    </row>
    <row r="7">
      <c r="A7" t="inlineStr">
        <is>
          <t>Store</t>
        </is>
      </c>
      <c r="B7" t="inlineStr">
        <is>
          <t>Collection DB</t>
        </is>
      </c>
      <c r="C7" t="inlineStr">
        <is>
          <t>excel</t>
        </is>
      </c>
      <c r="D7" t="inlineStr">
        <is>
          <t>raw_store_name</t>
        </is>
      </c>
      <c r="E7" t="inlineStr">
        <is>
          <t>Original store name from Excel source; stored in pickups.raw_store_name</t>
        </is>
      </c>
      <c r="F7" t="inlineStr">
        <is>
          <t>FALSE</t>
        </is>
      </c>
      <c r="G7" t="inlineStr"/>
      <c r="H7" t="n">
        <v>6</v>
      </c>
    </row>
    <row r="8">
      <c r="A8" t="inlineStr">
        <is>
          <t>SCG mass lbs</t>
        </is>
      </c>
      <c r="B8" t="inlineStr">
        <is>
          <t>Collection DB</t>
        </is>
      </c>
      <c r="C8" t="inlineStr">
        <is>
          <t>excel</t>
        </is>
      </c>
      <c r="D8" t="inlineStr">
        <is>
          <t>scg_mass_lbs</t>
        </is>
      </c>
      <c r="E8" t="inlineStr">
        <is>
          <t>Raw SCG mass in pounds; stored in pickups.scg_mass_lbs</t>
        </is>
      </c>
      <c r="F8" t="inlineStr">
        <is>
          <t>FALSE</t>
        </is>
      </c>
      <c r="G8" t="inlineStr"/>
      <c r="H8" t="n">
        <v>7</v>
      </c>
    </row>
    <row r="9">
      <c r="A9" t="inlineStr">
        <is>
          <t>Net lbs</t>
        </is>
      </c>
      <c r="B9" t="inlineStr">
        <is>
          <t>Collection DB</t>
        </is>
      </c>
      <c r="C9" t="inlineStr">
        <is>
          <t>excel</t>
        </is>
      </c>
      <c r="D9" t="inlineStr">
        <is>
          <t>net_lbs</t>
        </is>
      </c>
      <c r="E9" t="inlineStr">
        <is>
          <t>Net pounds after adjustments; stored in pickups.net_lbs</t>
        </is>
      </c>
      <c r="F9" t="inlineStr">
        <is>
          <t>TRUE</t>
        </is>
      </c>
      <c r="G9">
        <f>G2-8</f>
        <v/>
      </c>
      <c r="H9" t="n">
        <v>8</v>
      </c>
    </row>
    <row r="10">
      <c r="A10" t="inlineStr">
        <is>
          <t># of Days between collections</t>
        </is>
      </c>
      <c r="B10" t="inlineStr">
        <is>
          <t>Collection DB</t>
        </is>
      </c>
      <c r="C10" t="inlineStr">
        <is>
          <t>excel</t>
        </is>
      </c>
      <c r="D10" t="inlineStr">
        <is>
          <t>raw_days_between_collections</t>
        </is>
      </c>
      <c r="E10" t="inlineStr">
        <is>
          <t>Raw days between collections from source Excel; stored in pickups.raw_days_between_collections</t>
        </is>
      </c>
      <c r="F10" t="inlineStr">
        <is>
          <t>TRUE</t>
        </is>
      </c>
      <c r="G10">
        <f>IF(D3-D2&lt;0, 0, D3-D2)</f>
        <v/>
      </c>
      <c r="H10" t="n">
        <v>9</v>
      </c>
    </row>
    <row r="11">
      <c r="A11" t="inlineStr">
        <is>
          <t>Days Since 1st Collection</t>
        </is>
      </c>
      <c r="B11" t="inlineStr">
        <is>
          <t>Collection DB</t>
        </is>
      </c>
      <c r="C11" t="inlineStr">
        <is>
          <t>excel</t>
        </is>
      </c>
      <c r="D11" t="inlineStr">
        <is>
          <t>raw_days_since_first_collection</t>
        </is>
      </c>
      <c r="E11" t="inlineStr">
        <is>
          <t>Raw days since first collection from source Excel; stored in pickups.raw_days_since_first_collection</t>
        </is>
      </c>
      <c r="F11" t="inlineStr">
        <is>
          <t>TRUE</t>
        </is>
      </c>
      <c r="G11">
        <f>D3-$D$2</f>
        <v/>
      </c>
      <c r="H11" t="n">
        <v>10</v>
      </c>
    </row>
    <row r="12">
      <c r="A12" t="inlineStr">
        <is>
          <t>Who initiated pickup?</t>
        </is>
      </c>
      <c r="B12" t="inlineStr">
        <is>
          <t>Collection DB</t>
        </is>
      </c>
      <c r="C12" t="inlineStr">
        <is>
          <t>excel</t>
        </is>
      </c>
      <c r="D12" t="inlineStr">
        <is>
          <t>pickup_initiated_by</t>
        </is>
      </c>
      <c r="E12" t="inlineStr">
        <is>
          <t>Collector name or identifier; stored in pickups.pickup_initiated_by</t>
        </is>
      </c>
      <c r="F12" t="inlineStr">
        <is>
          <t>FALSE</t>
        </is>
      </c>
      <c r="G12" t="inlineStr"/>
      <c r="H12" t="n">
        <v>11</v>
      </c>
    </row>
    <row r="13">
      <c r="A13" t="inlineStr">
        <is>
          <t>Per Day (lbs)</t>
        </is>
      </c>
      <c r="B13" t="inlineStr">
        <is>
          <t>Collection DB</t>
        </is>
      </c>
      <c r="C13" t="inlineStr">
        <is>
          <t>excel</t>
        </is>
      </c>
      <c r="D13" t="inlineStr">
        <is>
          <t>per_day_lbs</t>
        </is>
      </c>
      <c r="E13" t="inlineStr">
        <is>
          <t>Average SCG pounds per day; derived in vw_pickup_base.per_day_lbs</t>
        </is>
      </c>
      <c r="F13" t="inlineStr">
        <is>
          <t>TRUE</t>
        </is>
      </c>
      <c r="G13">
        <f>H2/1</f>
        <v/>
      </c>
      <c r="H13" t="n">
        <v>12</v>
      </c>
    </row>
    <row r="14">
      <c r="A14" t="inlineStr">
        <is>
          <t>Running Total</t>
        </is>
      </c>
      <c r="B14" t="inlineStr">
        <is>
          <t>Collection DB</t>
        </is>
      </c>
      <c r="C14" t="inlineStr">
        <is>
          <t>excel</t>
        </is>
      </c>
      <c r="D14" t="inlineStr">
        <is>
          <t>running_total</t>
        </is>
      </c>
      <c r="E14" t="inlineStr">
        <is>
          <t>Cumulative net pounds; derived in vw_pickup_base.running_total</t>
        </is>
      </c>
      <c r="F14" t="inlineStr">
        <is>
          <t>TRUE</t>
        </is>
      </c>
      <c r="G14">
        <f>SUM(H$2:H2)</f>
        <v/>
      </c>
      <c r="H14" t="n">
        <v>13</v>
      </c>
    </row>
    <row r="15">
      <c r="A15" t="inlineStr">
        <is>
          <t>Master Gardener</t>
        </is>
      </c>
      <c r="B15" t="inlineStr">
        <is>
          <t>Collection DB</t>
        </is>
      </c>
      <c r="C15" t="inlineStr">
        <is>
          <t>excel</t>
        </is>
      </c>
      <c r="D15" t="inlineStr">
        <is>
          <t>master_gardener</t>
        </is>
      </c>
      <c r="E15" t="inlineStr">
        <is>
          <t>Master Gardener contribution in pounds; stored in pickups.master_gardener</t>
        </is>
      </c>
      <c r="F15" t="inlineStr">
        <is>
          <t>FALSE</t>
        </is>
      </c>
      <c r="G15" t="inlineStr"/>
      <c r="H15" t="n">
        <v>14</v>
      </c>
    </row>
    <row r="16">
      <c r="A16" t="inlineStr">
        <is>
          <t>MG Deposit Date</t>
        </is>
      </c>
      <c r="B16" t="inlineStr">
        <is>
          <t>Collection DB</t>
        </is>
      </c>
      <c r="C16" t="inlineStr">
        <is>
          <t>excel</t>
        </is>
      </c>
      <c r="D16" t="inlineStr">
        <is>
          <t>mg_deposit_date</t>
        </is>
      </c>
      <c r="E16" t="inlineStr">
        <is>
          <t>Deposit date for Master Gardener contributions; stored in pickups.mg_deposit_date</t>
        </is>
      </c>
      <c r="F16" t="inlineStr">
        <is>
          <t>FALSE</t>
        </is>
      </c>
      <c r="G16" t="inlineStr"/>
      <c r="H16" t="n">
        <v>15</v>
      </c>
    </row>
    <row r="17">
      <c r="A17" t="inlineStr">
        <is>
          <t>Cardboard (lbs)</t>
        </is>
      </c>
      <c r="B17" t="inlineStr">
        <is>
          <t>Collection DB</t>
        </is>
      </c>
      <c r="C17" t="inlineStr">
        <is>
          <t>excel</t>
        </is>
      </c>
      <c r="D17" t="inlineStr">
        <is>
          <t>cardboard_lbs</t>
        </is>
      </c>
      <c r="E17" t="inlineStr">
        <is>
          <t>Cardboard weight in pounds; stored in pickups.cardboard_lbs</t>
        </is>
      </c>
      <c r="F17" t="inlineStr">
        <is>
          <t>TRUE</t>
        </is>
      </c>
      <c r="G17">
        <f>6.5+3+5.5</f>
        <v/>
      </c>
      <c r="H17" t="n">
        <v>16</v>
      </c>
    </row>
    <row r="18">
      <c r="A18" t="inlineStr">
        <is>
          <t>Food Waste (lbs)</t>
        </is>
      </c>
      <c r="B18" t="inlineStr">
        <is>
          <t>Collection DB</t>
        </is>
      </c>
      <c r="C18" t="inlineStr">
        <is>
          <t>excel</t>
        </is>
      </c>
      <c r="D18" t="inlineStr">
        <is>
          <t>food_waste_lbs</t>
        </is>
      </c>
      <c r="E18" t="inlineStr">
        <is>
          <t>Food waste weight in pounds; stored in pickups.food_waste_lbs</t>
        </is>
      </c>
      <c r="F18" t="inlineStr">
        <is>
          <t>FALSE</t>
        </is>
      </c>
      <c r="G18" t="inlineStr"/>
      <c r="H18" t="n">
        <v>17</v>
      </c>
    </row>
    <row r="19">
      <c r="A19" t="inlineStr">
        <is>
          <t>Route</t>
        </is>
      </c>
      <c r="B19" t="inlineStr">
        <is>
          <t>Collection DB</t>
        </is>
      </c>
      <c r="C19" t="inlineStr">
        <is>
          <t>excel</t>
        </is>
      </c>
      <c r="D19" t="inlineStr">
        <is>
          <t>route</t>
        </is>
      </c>
      <c r="E19" t="inlineStr">
        <is>
          <t>Collection route; stored in pickups.route</t>
        </is>
      </c>
      <c r="F19" t="inlineStr">
        <is>
          <t>FALSE</t>
        </is>
      </c>
      <c r="G19" t="inlineStr"/>
      <c r="H19" t="n">
        <v>18</v>
      </c>
    </row>
    <row r="20">
      <c r="A20" t="inlineStr">
        <is>
          <t>Miles Driven</t>
        </is>
      </c>
      <c r="B20" t="inlineStr">
        <is>
          <t>Collection DB</t>
        </is>
      </c>
      <c r="C20" t="inlineStr">
        <is>
          <t>excel</t>
        </is>
      </c>
      <c r="D20" t="inlineStr">
        <is>
          <t>miles_driven</t>
        </is>
      </c>
      <c r="E20" t="inlineStr">
        <is>
          <t>Miles driven for collection; stored in pickups.miles_driven</t>
        </is>
      </c>
      <c r="F20" t="inlineStr">
        <is>
          <t>TRUE</t>
        </is>
      </c>
      <c r="G20">
        <f>VLOOKUP(Table1[[#This Row],[Route]],'Dropdown Lists'!$M$2:$N$7,2,FALSE)</f>
        <v/>
      </c>
      <c r="H20" t="n">
        <v>19</v>
      </c>
    </row>
    <row r="21">
      <c r="A21" t="inlineStr">
        <is>
          <t>Truck Odometer</t>
        </is>
      </c>
      <c r="B21" t="inlineStr">
        <is>
          <t>Collection DB</t>
        </is>
      </c>
      <c r="C21" t="inlineStr">
        <is>
          <t>excel</t>
        </is>
      </c>
      <c r="D21" t="inlineStr">
        <is>
          <t>truck_odometer</t>
        </is>
      </c>
      <c r="E21" t="inlineStr">
        <is>
          <t>Truck odometer reading; stored in pickups.truck_odometer</t>
        </is>
      </c>
      <c r="F21" t="inlineStr">
        <is>
          <t>FALSE</t>
        </is>
      </c>
      <c r="G21" t="inlineStr"/>
      <c r="H21" t="n">
        <v>20</v>
      </c>
    </row>
    <row r="22">
      <c r="A22" t="inlineStr">
        <is>
          <t>Notes</t>
        </is>
      </c>
      <c r="B22" t="inlineStr">
        <is>
          <t>Collection DB</t>
        </is>
      </c>
      <c r="C22" t="inlineStr">
        <is>
          <t>excel</t>
        </is>
      </c>
      <c r="D22" t="inlineStr">
        <is>
          <t>notes</t>
        </is>
      </c>
      <c r="E22" t="inlineStr">
        <is>
          <t>Legacy notes field; stored in pickups.notes</t>
        </is>
      </c>
      <c r="F22" t="inlineStr">
        <is>
          <t>FALSE</t>
        </is>
      </c>
      <c r="G22" t="inlineStr"/>
      <c r="H22" t="n">
        <v>21</v>
      </c>
    </row>
    <row r="23">
      <c r="A23" t="inlineStr">
        <is>
          <t>co2e_lbs</t>
        </is>
      </c>
      <c r="B23" t="inlineStr">
        <is>
          <t>derived</t>
        </is>
      </c>
      <c r="C23" t="inlineStr">
        <is>
          <t>alteryx</t>
        </is>
      </c>
      <c r="D23" t="inlineStr">
        <is>
          <t>co2e_lbs</t>
        </is>
      </c>
      <c r="E23" t="inlineStr">
        <is>
          <t>Calculated CO2e in pounds; derived in vw_pickup_base.co2e_lbs</t>
        </is>
      </c>
      <c r="F23" t="inlineStr">
        <is>
          <t>TRUE</t>
        </is>
      </c>
      <c r="G23" t="inlineStr"/>
    </row>
    <row r="24">
      <c r="A24" t="inlineStr">
        <is>
          <t>transportation_co2e</t>
        </is>
      </c>
      <c r="B24" t="inlineStr">
        <is>
          <t>derived</t>
        </is>
      </c>
      <c r="C24" t="inlineStr">
        <is>
          <t>tableau</t>
        </is>
      </c>
      <c r="D24" t="inlineStr">
        <is>
          <t>transportation_co2e</t>
        </is>
      </c>
      <c r="E24" t="inlineStr">
        <is>
          <t>Calculated transportation CO2e; derived in vw_pickup_base.transportation_co2e</t>
        </is>
      </c>
      <c r="F24" t="inlineStr">
        <is>
          <t>TRUE</t>
        </is>
      </c>
      <c r="G24" t="inlineStr"/>
    </row>
    <row r="25">
      <c r="A25" t="inlineStr">
        <is>
          <t>scg_lbs_per_mile</t>
        </is>
      </c>
      <c r="B25" t="inlineStr">
        <is>
          <t>derived</t>
        </is>
      </c>
      <c r="C25" t="inlineStr">
        <is>
          <t>tableau</t>
        </is>
      </c>
      <c r="D25" t="inlineStr">
        <is>
          <t>scg_lbs_per_mile</t>
        </is>
      </c>
      <c r="E25" t="inlineStr">
        <is>
          <t>SCG pounds per mile; derived in vw_pickup_base.scg_lbs_per_mile</t>
        </is>
      </c>
      <c r="F25" t="inlineStr">
        <is>
          <t>TRUE</t>
        </is>
      </c>
      <c r="G25" t="inlineStr"/>
    </row>
    <row r="26">
      <c r="A26" t="inlineStr">
        <is>
          <t>co2e_avoided_per_mile</t>
        </is>
      </c>
      <c r="B26" t="inlineStr">
        <is>
          <t>derived</t>
        </is>
      </c>
      <c r="C26" t="inlineStr">
        <is>
          <t>tableau</t>
        </is>
      </c>
      <c r="D26" t="inlineStr">
        <is>
          <t>co2e_avoided_per_mile</t>
        </is>
      </c>
      <c r="E26" t="inlineStr">
        <is>
          <t>CO2e avoided per mile; derived in vw_pickup_base.co2e_avoided_per_mile</t>
        </is>
      </c>
      <c r="F26" t="inlineStr">
        <is>
          <t>TRUE</t>
        </is>
      </c>
      <c r="G26" t="inlineStr"/>
    </row>
    <row r="27">
      <c r="A27" t="inlineStr">
        <is>
          <t>per_day_lbs</t>
        </is>
      </c>
      <c r="B27" t="inlineStr">
        <is>
          <t>derived</t>
        </is>
      </c>
      <c r="C27" t="inlineStr">
        <is>
          <t>tableau</t>
        </is>
      </c>
      <c r="D27" t="inlineStr">
        <is>
          <t>per_day_lbs</t>
        </is>
      </c>
      <c r="E27" t="inlineStr">
        <is>
          <t>Average SCG pounds per day; derived in vw_pickup_base.per_day_lbs</t>
        </is>
      </c>
      <c r="F27" t="inlineStr">
        <is>
          <t>TRUE</t>
        </is>
      </c>
      <c r="G27" t="inlineStr"/>
    </row>
    <row r="28">
      <c r="A28" t="inlineStr">
        <is>
          <t>rubicon_period</t>
        </is>
      </c>
      <c r="B28" t="inlineStr">
        <is>
          <t>derived</t>
        </is>
      </c>
      <c r="C28" t="inlineStr">
        <is>
          <t>tableau</t>
        </is>
      </c>
      <c r="D28" t="inlineStr">
        <is>
          <t>rubicon_period</t>
        </is>
      </c>
      <c r="E28" t="inlineStr">
        <is>
          <t>Rubicon transition label; derived in vw_pickup_base.rubicon_period</t>
        </is>
      </c>
      <c r="F28" t="inlineStr">
        <is>
          <t>TRUE</t>
        </is>
      </c>
      <c r="G28" t="inlineStr"/>
    </row>
    <row r="29">
      <c r="A29" t="inlineStr">
        <is>
          <t>year_and_week</t>
        </is>
      </c>
      <c r="B29" t="inlineStr">
        <is>
          <t>derived</t>
        </is>
      </c>
      <c r="C29" t="inlineStr">
        <is>
          <t>tableau</t>
        </is>
      </c>
      <c r="D29" t="inlineStr">
        <is>
          <t>year_and_week</t>
        </is>
      </c>
      <c r="E29" t="inlineStr">
        <is>
          <t>Year and ISO week string; derived in vw_pickup_base.year_and_week</t>
        </is>
      </c>
      <c r="F29" t="inlineStr">
        <is>
          <t>TRUE</t>
        </is>
      </c>
      <c r="G29" t="inlineStr"/>
    </row>
    <row r="30">
      <c r="A30" t="inlineStr">
        <is>
          <t>days_since_first_collection</t>
        </is>
      </c>
      <c r="B30" t="inlineStr">
        <is>
          <t>derived</t>
        </is>
      </c>
      <c r="C30" t="inlineStr">
        <is>
          <t>tableau</t>
        </is>
      </c>
      <c r="D30" t="inlineStr">
        <is>
          <t>days_since_first_collection</t>
        </is>
      </c>
      <c r="E30" t="inlineStr">
        <is>
          <t>Days since first recorded collection; derived in vw_pickup_base.days_since_first_collection</t>
        </is>
      </c>
      <c r="F30" t="inlineStr">
        <is>
          <t>TRUE</t>
        </is>
      </c>
      <c r="G30" t="inlineStr"/>
    </row>
    <row r="31">
      <c r="A31" t="inlineStr">
        <is>
          <t>days_between_collections</t>
        </is>
      </c>
      <c r="B31" t="inlineStr">
        <is>
          <t>derived</t>
        </is>
      </c>
      <c r="C31" t="inlineStr">
        <is>
          <t>tableau</t>
        </is>
      </c>
      <c r="D31" t="inlineStr">
        <is>
          <t>days_between_collections</t>
        </is>
      </c>
      <c r="E31" t="inlineStr">
        <is>
          <t>Days between collections; derived in vw_pickup_base.days_between_collections</t>
        </is>
      </c>
      <c r="F31" t="inlineStr">
        <is>
          <t>TRUE</t>
        </is>
      </c>
      <c r="G31" t="inlineStr"/>
    </row>
    <row r="32">
      <c r="A32" t="inlineStr">
        <is>
          <t>running_total</t>
        </is>
      </c>
      <c r="B32" t="inlineStr">
        <is>
          <t>derived</t>
        </is>
      </c>
      <c r="C32" t="inlineStr">
        <is>
          <t>tableau</t>
        </is>
      </c>
      <c r="D32" t="inlineStr">
        <is>
          <t>running_total</t>
        </is>
      </c>
      <c r="E32" t="inlineStr">
        <is>
          <t>Cumulative net pounds; derived in vw_pickup_base.running_total</t>
        </is>
      </c>
      <c r="F32" t="inlineStr">
        <is>
          <t>TRUE</t>
        </is>
      </c>
      <c r="G3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2026-08-10T17:49:04Z</dcterms:created>
  <dcterms:modified xsi:type="dcterms:W3CDTF">2026-08-10T17:49:04Z</dcterms:modified>
</cp:coreProperties>
</file>