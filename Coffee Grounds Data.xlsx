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6f9c7451c32ea7be/1. Hidden Leaf Farm/2. Data/"/>
    </mc:Choice>
  </mc:AlternateContent>
  <xr:revisionPtr revIDLastSave="2232" documentId="13_ncr:1_{D58EE924-3032-4CA6-8B6F-82C61144E328}" xr6:coauthVersionLast="47" xr6:coauthVersionMax="47" xr10:uidLastSave="{4F82DDC2-733E-48E2-BADE-62AE33D91848}"/>
  <bookViews>
    <workbookView xWindow="57480" yWindow="-120" windowWidth="29040" windowHeight="17520" xr2:uid="{A5C5C1E9-78F6-4775-973E-26F5C6D9E4EB}"/>
  </bookViews>
  <sheets>
    <sheet name="Collection DB" sheetId="1" r:id="rId1"/>
    <sheet name="Coffee Grounds Stats" sheetId="3" r:id="rId2"/>
    <sheet name="Sheet2" sheetId="12" state="hidden" r:id="rId3"/>
    <sheet name="Master Gardener" sheetId="10" r:id="rId4"/>
    <sheet name="Sheet1" sheetId="11" state="hidden" r:id="rId5"/>
    <sheet name="Calendar Scaffold" sheetId="4" state="hidden" r:id="rId6"/>
    <sheet name="Dropdown Lists" sheetId="2" r:id="rId7"/>
  </sheets>
  <definedNames>
    <definedName name="_xlnm._FilterDatabase" localSheetId="0" hidden="1">'Collection DB'!$A$1:$Q$80</definedName>
    <definedName name="_xlnm._FilterDatabase" localSheetId="3" hidden="1">'Master Gardener'!$C$3:$D$207</definedName>
    <definedName name="_xlnm._FilterDatabase" localSheetId="4" hidden="1">Sheet1!$M$1:$O$1</definedName>
  </definedNames>
  <calcPr calcId="191028"/>
  <pivotCaches>
    <pivotCache cacheId="0" r:id="rId8"/>
    <pivotCache cacheId="1" r:id="rId9"/>
    <pivotCache cacheId="2" r:id="rId10"/>
    <pivotCache cacheId="3" r:id="rId11"/>
    <pivotCache cacheId="4"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98" i="1" l="1"/>
  <c r="M297" i="1"/>
  <c r="M296" i="1"/>
  <c r="M295" i="1"/>
  <c r="M294" i="1"/>
  <c r="J295" i="1"/>
  <c r="L295" i="1"/>
  <c r="J296" i="1"/>
  <c r="L296" i="1"/>
  <c r="J297" i="1"/>
  <c r="C10" i="3" s="1"/>
  <c r="L297" i="1"/>
  <c r="J298" i="1"/>
  <c r="L298" i="1"/>
  <c r="H298" i="1"/>
  <c r="M203" i="1" s="1"/>
  <c r="H297" i="1"/>
  <c r="H295" i="1"/>
  <c r="H296" i="1"/>
  <c r="H294" i="1"/>
  <c r="G296" i="1"/>
  <c r="G295" i="1"/>
  <c r="E295" i="1"/>
  <c r="E296" i="1"/>
  <c r="E297" i="1"/>
  <c r="E298" i="1"/>
  <c r="A295" i="1"/>
  <c r="A296" i="1"/>
  <c r="A297" i="1"/>
  <c r="A298" i="1"/>
  <c r="M235" i="1"/>
  <c r="M293" i="1"/>
  <c r="M292" i="1"/>
  <c r="M291" i="1"/>
  <c r="M290" i="1"/>
  <c r="J291" i="1"/>
  <c r="L291" i="1"/>
  <c r="J292" i="1"/>
  <c r="L292" i="1"/>
  <c r="J293" i="1"/>
  <c r="L293" i="1"/>
  <c r="J294" i="1"/>
  <c r="L294" i="1"/>
  <c r="H292" i="1"/>
  <c r="H291" i="1"/>
  <c r="H293" i="1"/>
  <c r="G294" i="1"/>
  <c r="G293" i="1"/>
  <c r="G292" i="1"/>
  <c r="G291" i="1"/>
  <c r="E291" i="1"/>
  <c r="E292" i="1"/>
  <c r="E293" i="1"/>
  <c r="E294" i="1"/>
  <c r="A291" i="1"/>
  <c r="A292" i="1"/>
  <c r="A293" i="1"/>
  <c r="A294" i="1"/>
  <c r="S294" i="1"/>
  <c r="H289" i="1"/>
  <c r="H288" i="1"/>
  <c r="H287" i="1"/>
  <c r="M289" i="1"/>
  <c r="M288" i="1"/>
  <c r="M287" i="1"/>
  <c r="M286" i="1"/>
  <c r="M285" i="1"/>
  <c r="M284" i="1"/>
  <c r="J287" i="1"/>
  <c r="L287" i="1"/>
  <c r="J288" i="1"/>
  <c r="L288" i="1"/>
  <c r="J289" i="1"/>
  <c r="L289" i="1"/>
  <c r="J290" i="1"/>
  <c r="L290" i="1"/>
  <c r="H290" i="1"/>
  <c r="G290" i="1"/>
  <c r="G289" i="1"/>
  <c r="S290" i="1"/>
  <c r="E290" i="1"/>
  <c r="E289" i="1"/>
  <c r="A290" i="1"/>
  <c r="A287" i="1"/>
  <c r="A288" i="1"/>
  <c r="A289" i="1"/>
  <c r="E287" i="1"/>
  <c r="E288" i="1"/>
  <c r="H284" i="1"/>
  <c r="G286" i="1"/>
  <c r="G285" i="1"/>
  <c r="H285" i="1"/>
  <c r="L285" i="1" s="1"/>
  <c r="H286" i="1"/>
  <c r="L286" i="1" s="1"/>
  <c r="G283" i="1"/>
  <c r="H283" i="1" s="1"/>
  <c r="L283" i="1" s="1"/>
  <c r="J283" i="1"/>
  <c r="J284" i="1"/>
  <c r="J285" i="1"/>
  <c r="J286" i="1"/>
  <c r="S286" i="1"/>
  <c r="P283" i="1"/>
  <c r="E283" i="1"/>
  <c r="E284" i="1"/>
  <c r="E285" i="1"/>
  <c r="E286" i="1"/>
  <c r="A283" i="1"/>
  <c r="A284" i="1"/>
  <c r="A285" i="1"/>
  <c r="A286" i="1"/>
  <c r="G281" i="1"/>
  <c r="S282" i="1"/>
  <c r="J279" i="1"/>
  <c r="J280" i="1"/>
  <c r="J281" i="1"/>
  <c r="J282" i="1"/>
  <c r="I279" i="1"/>
  <c r="H281" i="1"/>
  <c r="H279" i="1"/>
  <c r="G282" i="1"/>
  <c r="H282" i="1" s="1"/>
  <c r="L282" i="1" s="1"/>
  <c r="G280" i="1"/>
  <c r="H280" i="1" s="1"/>
  <c r="L280" i="1" s="1"/>
  <c r="G279" i="1"/>
  <c r="E279" i="1"/>
  <c r="E280" i="1"/>
  <c r="E281" i="1"/>
  <c r="E282" i="1"/>
  <c r="A279" i="1"/>
  <c r="A280" i="1"/>
  <c r="A281" i="1"/>
  <c r="A282" i="1"/>
  <c r="S278" i="1"/>
  <c r="H276" i="1"/>
  <c r="L276" i="1" s="1"/>
  <c r="G275" i="1"/>
  <c r="H275" i="1" s="1"/>
  <c r="G277" i="1"/>
  <c r="H277" i="1" s="1"/>
  <c r="L277" i="1" s="1"/>
  <c r="G278" i="1"/>
  <c r="H278" i="1" s="1"/>
  <c r="L278" i="1" s="1"/>
  <c r="J275" i="1"/>
  <c r="J276" i="1"/>
  <c r="J277" i="1"/>
  <c r="J278" i="1"/>
  <c r="I275" i="1"/>
  <c r="E275" i="1"/>
  <c r="E276" i="1"/>
  <c r="E277" i="1"/>
  <c r="E278" i="1"/>
  <c r="A275" i="1"/>
  <c r="A276" i="1"/>
  <c r="A277" i="1"/>
  <c r="A278" i="1"/>
  <c r="N273" i="1"/>
  <c r="N272" i="1"/>
  <c r="S274" i="1"/>
  <c r="J271" i="1"/>
  <c r="J272" i="1"/>
  <c r="J273" i="1"/>
  <c r="J274" i="1"/>
  <c r="H271" i="1"/>
  <c r="N271" i="1" s="1"/>
  <c r="H272" i="1"/>
  <c r="L272" i="1" s="1"/>
  <c r="P273" i="1"/>
  <c r="G274" i="1"/>
  <c r="H274" i="1" s="1"/>
  <c r="L274" i="1" s="1"/>
  <c r="G273" i="1"/>
  <c r="H273" i="1" s="1"/>
  <c r="L273" i="1" s="1"/>
  <c r="E271" i="1"/>
  <c r="E272" i="1"/>
  <c r="E273" i="1"/>
  <c r="E274" i="1"/>
  <c r="A274" i="1"/>
  <c r="A271" i="1"/>
  <c r="A272" i="1"/>
  <c r="A273" i="1"/>
  <c r="J268" i="1"/>
  <c r="J269" i="1"/>
  <c r="J270" i="1"/>
  <c r="H268" i="1"/>
  <c r="L268" i="1" s="1"/>
  <c r="H270" i="1"/>
  <c r="L270" i="1" s="1"/>
  <c r="G270" i="1"/>
  <c r="G269" i="1"/>
  <c r="H269" i="1" s="1"/>
  <c r="L269" i="1" s="1"/>
  <c r="G268" i="1"/>
  <c r="E268" i="1"/>
  <c r="E269" i="1"/>
  <c r="E270" i="1"/>
  <c r="A268" i="1"/>
  <c r="A269" i="1"/>
  <c r="A270" i="1"/>
  <c r="S270" i="1"/>
  <c r="S269" i="1"/>
  <c r="S268" i="1"/>
  <c r="J265" i="1"/>
  <c r="J266" i="1"/>
  <c r="J267" i="1"/>
  <c r="H265" i="1"/>
  <c r="L265" i="1" s="1"/>
  <c r="H267" i="1"/>
  <c r="L267" i="1" s="1"/>
  <c r="G265" i="1"/>
  <c r="G266" i="1"/>
  <c r="H266" i="1" s="1"/>
  <c r="L266" i="1" s="1"/>
  <c r="G267" i="1"/>
  <c r="E266" i="1"/>
  <c r="E267" i="1"/>
  <c r="A265" i="1"/>
  <c r="A266" i="1"/>
  <c r="A267" i="1"/>
  <c r="S266" i="1"/>
  <c r="S267" i="1"/>
  <c r="E265" i="1"/>
  <c r="S265" i="1"/>
  <c r="G263" i="1"/>
  <c r="H263" i="1" s="1"/>
  <c r="J262" i="1"/>
  <c r="J263" i="1"/>
  <c r="J264" i="1"/>
  <c r="J261" i="1"/>
  <c r="H262" i="1"/>
  <c r="L262" i="1" s="1"/>
  <c r="G264" i="1"/>
  <c r="H264" i="1" s="1"/>
  <c r="L264" i="1" s="1"/>
  <c r="E262" i="1"/>
  <c r="E263" i="1"/>
  <c r="E264" i="1"/>
  <c r="A262" i="1"/>
  <c r="A263" i="1"/>
  <c r="A264" i="1"/>
  <c r="S263" i="1"/>
  <c r="S264" i="1"/>
  <c r="S262" i="1"/>
  <c r="P260" i="1"/>
  <c r="J259" i="1"/>
  <c r="J260" i="1"/>
  <c r="H259" i="1"/>
  <c r="L259" i="1" s="1"/>
  <c r="G260" i="1"/>
  <c r="H260" i="1" s="1"/>
  <c r="L260" i="1" s="1"/>
  <c r="G261" i="1"/>
  <c r="H261" i="1" s="1"/>
  <c r="L261" i="1" s="1"/>
  <c r="E260" i="1"/>
  <c r="E261" i="1"/>
  <c r="A259" i="1"/>
  <c r="A260" i="1"/>
  <c r="A261" i="1"/>
  <c r="S260" i="1"/>
  <c r="S261" i="1"/>
  <c r="E259" i="1"/>
  <c r="S259" i="1"/>
  <c r="J256" i="1"/>
  <c r="J257" i="1"/>
  <c r="J258" i="1"/>
  <c r="G256" i="1"/>
  <c r="H256" i="1" s="1"/>
  <c r="L256" i="1" s="1"/>
  <c r="G257" i="1"/>
  <c r="H257" i="1" s="1"/>
  <c r="L257" i="1" s="1"/>
  <c r="G258" i="1"/>
  <c r="H258" i="1" s="1"/>
  <c r="L258" i="1" s="1"/>
  <c r="E256" i="1"/>
  <c r="E257" i="1"/>
  <c r="E258" i="1"/>
  <c r="A256" i="1"/>
  <c r="A257" i="1"/>
  <c r="A258" i="1"/>
  <c r="S258" i="1"/>
  <c r="S257" i="1"/>
  <c r="S256" i="1"/>
  <c r="O149" i="1"/>
  <c r="O190" i="1"/>
  <c r="O191" i="1"/>
  <c r="O187" i="1"/>
  <c r="O155" i="1"/>
  <c r="O152" i="1"/>
  <c r="O144" i="1"/>
  <c r="O133" i="1"/>
  <c r="O130" i="1"/>
  <c r="O128" i="1"/>
  <c r="O125" i="1"/>
  <c r="O113" i="1"/>
  <c r="C2" i="1"/>
  <c r="B2" i="1" s="1"/>
  <c r="S254" i="1"/>
  <c r="S253" i="1"/>
  <c r="G255" i="1"/>
  <c r="H255" i="1" s="1"/>
  <c r="J253" i="1"/>
  <c r="J254" i="1"/>
  <c r="J255" i="1"/>
  <c r="G253" i="1"/>
  <c r="H253" i="1" s="1"/>
  <c r="N253" i="1" s="1"/>
  <c r="P254" i="1"/>
  <c r="G254" i="1"/>
  <c r="H254" i="1" s="1"/>
  <c r="L254" i="1" s="1"/>
  <c r="E253" i="1"/>
  <c r="E254" i="1"/>
  <c r="E255" i="1"/>
  <c r="A253" i="1"/>
  <c r="A254" i="1"/>
  <c r="A255" i="1"/>
  <c r="J249" i="1"/>
  <c r="J250" i="1"/>
  <c r="J251" i="1"/>
  <c r="J252" i="1"/>
  <c r="E250" i="1"/>
  <c r="E251" i="1"/>
  <c r="E252" i="1"/>
  <c r="A250" i="1"/>
  <c r="A251" i="1"/>
  <c r="A252" i="1"/>
  <c r="G252" i="1"/>
  <c r="H252" i="1" s="1"/>
  <c r="L252" i="1" s="1"/>
  <c r="G250" i="1"/>
  <c r="H250" i="1" s="1"/>
  <c r="L250" i="1" s="1"/>
  <c r="G251" i="1"/>
  <c r="H251" i="1" s="1"/>
  <c r="L251" i="1" s="1"/>
  <c r="J247" i="1"/>
  <c r="J248" i="1"/>
  <c r="G249" i="1"/>
  <c r="H249" i="1" s="1"/>
  <c r="L249" i="1" s="1"/>
  <c r="G247" i="1"/>
  <c r="H247" i="1" s="1"/>
  <c r="L247" i="1" s="1"/>
  <c r="G248" i="1"/>
  <c r="H248" i="1" s="1"/>
  <c r="L248" i="1" s="1"/>
  <c r="E247" i="1"/>
  <c r="E248" i="1"/>
  <c r="E249" i="1"/>
  <c r="A248" i="1"/>
  <c r="A249" i="1"/>
  <c r="A247" i="1"/>
  <c r="S244" i="1"/>
  <c r="J244" i="1"/>
  <c r="J245" i="1"/>
  <c r="J246" i="1"/>
  <c r="G246" i="1"/>
  <c r="H246" i="1" s="1"/>
  <c r="L246" i="1" s="1"/>
  <c r="G244" i="1"/>
  <c r="H244" i="1" s="1"/>
  <c r="L244" i="1" s="1"/>
  <c r="G245" i="1"/>
  <c r="H245" i="1" s="1"/>
  <c r="E244" i="1"/>
  <c r="E245" i="1"/>
  <c r="E246" i="1"/>
  <c r="A244" i="1"/>
  <c r="A245" i="1"/>
  <c r="A246" i="1"/>
  <c r="J243" i="1"/>
  <c r="G243" i="1"/>
  <c r="H243" i="1" s="1"/>
  <c r="L243" i="1" s="1"/>
  <c r="E243" i="1"/>
  <c r="A243" i="1"/>
  <c r="J241" i="1"/>
  <c r="J242" i="1"/>
  <c r="G241" i="1"/>
  <c r="H241" i="1" s="1"/>
  <c r="L241" i="1" s="1"/>
  <c r="G242" i="1"/>
  <c r="H242" i="1" s="1"/>
  <c r="L242" i="1" s="1"/>
  <c r="E241" i="1"/>
  <c r="E242" i="1"/>
  <c r="A241" i="1"/>
  <c r="A242" i="1"/>
  <c r="S241" i="1"/>
  <c r="J238" i="1"/>
  <c r="J239" i="1"/>
  <c r="J240" i="1"/>
  <c r="G240" i="1"/>
  <c r="H240" i="1" s="1"/>
  <c r="L240" i="1" s="1"/>
  <c r="G238" i="1"/>
  <c r="H238" i="1" s="1"/>
  <c r="L238" i="1" s="1"/>
  <c r="G239" i="1"/>
  <c r="H239" i="1" s="1"/>
  <c r="L239" i="1" s="1"/>
  <c r="A238" i="1"/>
  <c r="A239" i="1"/>
  <c r="A240" i="1"/>
  <c r="E239" i="1"/>
  <c r="E240" i="1"/>
  <c r="E238" i="1"/>
  <c r="S238" i="1"/>
  <c r="A236" i="1"/>
  <c r="A237" i="1"/>
  <c r="J236" i="1"/>
  <c r="J237" i="1"/>
  <c r="G237" i="1"/>
  <c r="H237" i="1" s="1"/>
  <c r="L237" i="1" s="1"/>
  <c r="G236" i="1"/>
  <c r="H236" i="1" s="1"/>
  <c r="L236" i="1" s="1"/>
  <c r="E236" i="1"/>
  <c r="E237" i="1"/>
  <c r="S236" i="1"/>
  <c r="J235" i="1"/>
  <c r="G235" i="1"/>
  <c r="H235" i="1" s="1"/>
  <c r="L235" i="1" s="1"/>
  <c r="E235" i="1"/>
  <c r="A235" i="1"/>
  <c r="S235" i="1"/>
  <c r="N234" i="1"/>
  <c r="N232" i="1"/>
  <c r="J232" i="1"/>
  <c r="J233" i="1"/>
  <c r="J234" i="1"/>
  <c r="G234" i="1"/>
  <c r="H234" i="1" s="1"/>
  <c r="L234" i="1" s="1"/>
  <c r="A233" i="1"/>
  <c r="A234" i="1"/>
  <c r="E233" i="1"/>
  <c r="E234" i="1"/>
  <c r="G233" i="1"/>
  <c r="H233" i="1" s="1"/>
  <c r="L233" i="1" s="1"/>
  <c r="E232" i="1"/>
  <c r="A232" i="1"/>
  <c r="G232" i="1"/>
  <c r="H232" i="1" s="1"/>
  <c r="L232" i="1" s="1"/>
  <c r="A207" i="1"/>
  <c r="A208" i="1"/>
  <c r="A209" i="1"/>
  <c r="A210" i="1"/>
  <c r="A211" i="1"/>
  <c r="A212" i="1"/>
  <c r="A213" i="1"/>
  <c r="A214" i="1"/>
  <c r="A215" i="1"/>
  <c r="A216" i="1"/>
  <c r="A217" i="1"/>
  <c r="A218" i="1"/>
  <c r="A219" i="1"/>
  <c r="A220" i="1"/>
  <c r="A221" i="1"/>
  <c r="A222" i="1"/>
  <c r="A223" i="1"/>
  <c r="A224" i="1"/>
  <c r="A225" i="1"/>
  <c r="A226" i="1"/>
  <c r="A227" i="1"/>
  <c r="A228" i="1"/>
  <c r="A229" i="1"/>
  <c r="A230" i="1"/>
  <c r="A231" i="1"/>
  <c r="G231" i="1"/>
  <c r="H231" i="1" s="1"/>
  <c r="L231" i="1" s="1"/>
  <c r="J231" i="1"/>
  <c r="E231" i="1"/>
  <c r="S231" i="1"/>
  <c r="J229" i="1"/>
  <c r="J230" i="1"/>
  <c r="I230" i="1"/>
  <c r="I229" i="1"/>
  <c r="G230" i="1"/>
  <c r="H230" i="1" s="1"/>
  <c r="E230" i="1"/>
  <c r="S230" i="1"/>
  <c r="G229" i="1"/>
  <c r="H229" i="1" s="1"/>
  <c r="E229" i="1"/>
  <c r="S229" i="1"/>
  <c r="J228" i="1"/>
  <c r="I228" i="1"/>
  <c r="G228" i="1"/>
  <c r="H228" i="1" s="1"/>
  <c r="E228" i="1"/>
  <c r="S228" i="1"/>
  <c r="A204" i="1"/>
  <c r="A205" i="1"/>
  <c r="A206" i="1"/>
  <c r="A202" i="1"/>
  <c r="A192" i="1"/>
  <c r="A193" i="1"/>
  <c r="A194" i="1"/>
  <c r="A195" i="1"/>
  <c r="A196" i="1"/>
  <c r="A197" i="1"/>
  <c r="A198" i="1"/>
  <c r="A199" i="1"/>
  <c r="A200" i="1"/>
  <c r="A201" i="1"/>
  <c r="I226" i="1"/>
  <c r="I202" i="1"/>
  <c r="I204" i="1"/>
  <c r="J225" i="1"/>
  <c r="J226" i="1"/>
  <c r="J227" i="1"/>
  <c r="G226" i="1"/>
  <c r="H226" i="1" s="1"/>
  <c r="G227" i="1"/>
  <c r="H227" i="1" s="1"/>
  <c r="L227" i="1" s="1"/>
  <c r="E226" i="1"/>
  <c r="E227" i="1"/>
  <c r="S227" i="1"/>
  <c r="S226" i="1"/>
  <c r="J223" i="1"/>
  <c r="J224" i="1"/>
  <c r="G223" i="1"/>
  <c r="H223" i="1" s="1"/>
  <c r="L223" i="1" s="1"/>
  <c r="G224" i="1"/>
  <c r="H224" i="1" s="1"/>
  <c r="L224" i="1" s="1"/>
  <c r="G225" i="1"/>
  <c r="H225" i="1" s="1"/>
  <c r="L225" i="1" s="1"/>
  <c r="E223" i="1"/>
  <c r="E224" i="1"/>
  <c r="E225" i="1"/>
  <c r="S225" i="1"/>
  <c r="S224" i="1"/>
  <c r="S223" i="1"/>
  <c r="J221" i="1"/>
  <c r="J220" i="1"/>
  <c r="J222" i="1"/>
  <c r="H220" i="1"/>
  <c r="L220" i="1" s="1"/>
  <c r="G222" i="1"/>
  <c r="H222" i="1" s="1"/>
  <c r="L222" i="1" s="1"/>
  <c r="G221" i="1"/>
  <c r="H221" i="1" s="1"/>
  <c r="L221" i="1" s="1"/>
  <c r="E220" i="1"/>
  <c r="E221" i="1"/>
  <c r="E222" i="1"/>
  <c r="S222" i="1"/>
  <c r="S221" i="1"/>
  <c r="S220" i="1"/>
  <c r="S219" i="1"/>
  <c r="J219" i="1"/>
  <c r="G219" i="1"/>
  <c r="H219" i="1" s="1"/>
  <c r="L219" i="1" s="1"/>
  <c r="E219" i="1"/>
  <c r="J217" i="1"/>
  <c r="J218" i="1"/>
  <c r="P218" i="1"/>
  <c r="P217" i="1"/>
  <c r="G217" i="1"/>
  <c r="H217" i="1" s="1"/>
  <c r="L217" i="1" s="1"/>
  <c r="G218" i="1"/>
  <c r="H218" i="1" s="1"/>
  <c r="L218" i="1" s="1"/>
  <c r="E217" i="1"/>
  <c r="E218" i="1"/>
  <c r="S217"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J213" i="1"/>
  <c r="J214" i="1"/>
  <c r="J215" i="1"/>
  <c r="J216" i="1"/>
  <c r="I216" i="1"/>
  <c r="H214" i="1"/>
  <c r="L214" i="1" s="1"/>
  <c r="H216" i="1"/>
  <c r="G215" i="1"/>
  <c r="H215" i="1" s="1"/>
  <c r="L215" i="1" s="1"/>
  <c r="G213" i="1"/>
  <c r="H213" i="1" s="1"/>
  <c r="L213" i="1" s="1"/>
  <c r="E216" i="1"/>
  <c r="E213" i="1"/>
  <c r="E214" i="1"/>
  <c r="E215" i="1"/>
  <c r="I210" i="1"/>
  <c r="J210" i="1"/>
  <c r="J211" i="1"/>
  <c r="J212" i="1"/>
  <c r="H212" i="1"/>
  <c r="L212" i="1" s="1"/>
  <c r="E210" i="1"/>
  <c r="E211" i="1"/>
  <c r="E212" i="1"/>
  <c r="G211" i="1"/>
  <c r="H211" i="1" s="1"/>
  <c r="L211" i="1" s="1"/>
  <c r="G210" i="1"/>
  <c r="H210" i="1" s="1"/>
  <c r="J207" i="1"/>
  <c r="I207" i="1"/>
  <c r="J208" i="1"/>
  <c r="J209" i="1"/>
  <c r="G207" i="1"/>
  <c r="H207" i="1" s="1"/>
  <c r="G208" i="1"/>
  <c r="H208" i="1" s="1"/>
  <c r="L208" i="1" s="1"/>
  <c r="E208" i="1"/>
  <c r="E209" i="1"/>
  <c r="G209" i="1"/>
  <c r="H209" i="1" s="1"/>
  <c r="L209" i="1" s="1"/>
  <c r="E207" i="1"/>
  <c r="J205" i="1"/>
  <c r="J204" i="1"/>
  <c r="J206" i="1"/>
  <c r="H204" i="1"/>
  <c r="H206" i="1"/>
  <c r="L206" i="1" s="1"/>
  <c r="G205" i="1"/>
  <c r="H205" i="1" s="1"/>
  <c r="L205" i="1" s="1"/>
  <c r="E205" i="1"/>
  <c r="E206" i="1"/>
  <c r="E204" i="1"/>
  <c r="N2" i="2"/>
  <c r="I203" i="1"/>
  <c r="J203" i="1"/>
  <c r="G203" i="1"/>
  <c r="H203" i="1" s="1"/>
  <c r="E203" i="1"/>
  <c r="P202" i="1"/>
  <c r="G202" i="1"/>
  <c r="H202" i="1" s="1"/>
  <c r="J202" i="1"/>
  <c r="J201" i="1"/>
  <c r="I201" i="1"/>
  <c r="H201" i="1"/>
  <c r="G200" i="1"/>
  <c r="H200" i="1" s="1"/>
  <c r="E201" i="1"/>
  <c r="E202" i="1"/>
  <c r="M228" i="1" l="1"/>
  <c r="L279" i="1"/>
  <c r="L284" i="1"/>
  <c r="L275" i="1"/>
  <c r="L271" i="1"/>
  <c r="L281" i="1"/>
  <c r="L263" i="1"/>
  <c r="N255" i="1"/>
  <c r="L253" i="1"/>
  <c r="L255" i="1"/>
  <c r="L230" i="1"/>
  <c r="L245" i="1"/>
  <c r="L229" i="1"/>
  <c r="L216" i="1"/>
  <c r="L228" i="1"/>
  <c r="L226" i="1"/>
  <c r="L207" i="1"/>
  <c r="L210" i="1"/>
  <c r="L204" i="1"/>
  <c r="L203" i="1"/>
  <c r="L201" i="1"/>
  <c r="L202" i="1"/>
  <c r="I200" i="1"/>
  <c r="L200" i="1" s="1"/>
  <c r="J200" i="1"/>
  <c r="E200" i="1"/>
  <c r="H199" i="1"/>
  <c r="J199" i="1"/>
  <c r="I199" i="1"/>
  <c r="E199" i="1"/>
  <c r="G198" i="1"/>
  <c r="H198" i="1" s="1"/>
  <c r="J198" i="1"/>
  <c r="I198" i="1"/>
  <c r="E198" i="1"/>
  <c r="I197" i="1"/>
  <c r="J197" i="1"/>
  <c r="G197" i="1"/>
  <c r="H197" i="1" s="1"/>
  <c r="E197" i="1"/>
  <c r="I196" i="1"/>
  <c r="J196" i="1"/>
  <c r="G196" i="1"/>
  <c r="H196" i="1" s="1"/>
  <c r="E196" i="1"/>
  <c r="J195" i="1"/>
  <c r="G195" i="1"/>
  <c r="H195" i="1" s="1"/>
  <c r="I195" i="1"/>
  <c r="E195" i="1"/>
  <c r="H194" i="1"/>
  <c r="I194" i="1"/>
  <c r="J194" i="1"/>
  <c r="E194" i="1"/>
  <c r="E193" i="1"/>
  <c r="I193" i="1"/>
  <c r="J193" i="1"/>
  <c r="G193" i="1"/>
  <c r="H193" i="1" s="1"/>
  <c r="I192" i="1"/>
  <c r="J192" i="1"/>
  <c r="G192" i="1"/>
  <c r="H192" i="1" s="1"/>
  <c r="E192" i="1"/>
  <c r="G191" i="1"/>
  <c r="H191" i="1" s="1"/>
  <c r="J191" i="1"/>
  <c r="I191" i="1"/>
  <c r="E191" i="1"/>
  <c r="A191" i="1"/>
  <c r="A190" i="1"/>
  <c r="I190" i="1"/>
  <c r="J190" i="1"/>
  <c r="G190" i="1"/>
  <c r="H190" i="1" s="1"/>
  <c r="N190" i="1" s="1"/>
  <c r="E190" i="1"/>
  <c r="G189" i="1"/>
  <c r="H189" i="1" s="1"/>
  <c r="E189" i="1"/>
  <c r="I189" i="1"/>
  <c r="J189" i="1"/>
  <c r="A189" i="1"/>
  <c r="G188" i="1"/>
  <c r="H188" i="1" s="1"/>
  <c r="J188" i="1"/>
  <c r="E188" i="1"/>
  <c r="A188" i="1"/>
  <c r="I188" i="1"/>
  <c r="G187" i="1"/>
  <c r="H187" i="1" s="1"/>
  <c r="N187" i="1" s="1"/>
  <c r="I187" i="1"/>
  <c r="J187" i="1"/>
  <c r="A187" i="1"/>
  <c r="E187" i="1"/>
  <c r="G186" i="1"/>
  <c r="H186" i="1" s="1"/>
  <c r="G185" i="1"/>
  <c r="H185" i="1" s="1"/>
  <c r="I185" i="1"/>
  <c r="J185" i="1"/>
  <c r="I186" i="1"/>
  <c r="J186" i="1"/>
  <c r="A185" i="1"/>
  <c r="A186" i="1"/>
  <c r="E185" i="1"/>
  <c r="E186" i="1"/>
  <c r="I184" i="1"/>
  <c r="J184" i="1"/>
  <c r="A184" i="1"/>
  <c r="G184" i="1"/>
  <c r="H184" i="1" s="1"/>
  <c r="E184" i="1"/>
  <c r="P183" i="1"/>
  <c r="H183" i="1"/>
  <c r="I183" i="1"/>
  <c r="J183" i="1"/>
  <c r="E183" i="1"/>
  <c r="A183" i="1"/>
  <c r="I182" i="1"/>
  <c r="J182" i="1"/>
  <c r="A182" i="1"/>
  <c r="E182" i="1"/>
  <c r="G182" i="1"/>
  <c r="H182" i="1" s="1"/>
  <c r="I180" i="1"/>
  <c r="J180" i="1"/>
  <c r="I181" i="1"/>
  <c r="J181" i="1"/>
  <c r="A180" i="1"/>
  <c r="A181" i="1"/>
  <c r="E180" i="1"/>
  <c r="E181" i="1"/>
  <c r="G180" i="1"/>
  <c r="H180" i="1" s="1"/>
  <c r="G181" i="1"/>
  <c r="H181" i="1" s="1"/>
  <c r="I179" i="1"/>
  <c r="J179" i="1"/>
  <c r="E179" i="1"/>
  <c r="A179" i="1"/>
  <c r="G179" i="1"/>
  <c r="H179" i="1" s="1"/>
  <c r="G177" i="1"/>
  <c r="H177" i="1" s="1"/>
  <c r="E177" i="1"/>
  <c r="I177" i="1"/>
  <c r="J177" i="1"/>
  <c r="E178" i="1"/>
  <c r="H178" i="1"/>
  <c r="I178" i="1"/>
  <c r="J178" i="1"/>
  <c r="A177" i="1"/>
  <c r="A178" i="1"/>
  <c r="G176" i="1"/>
  <c r="H176" i="1" s="1"/>
  <c r="G174" i="1"/>
  <c r="H174" i="1" s="1"/>
  <c r="A174" i="1"/>
  <c r="E174" i="1"/>
  <c r="I174" i="1"/>
  <c r="J174" i="1"/>
  <c r="I176" i="1"/>
  <c r="J176" i="1"/>
  <c r="A176" i="1"/>
  <c r="E176" i="1"/>
  <c r="G175" i="1"/>
  <c r="H175" i="1" s="1"/>
  <c r="G172" i="1"/>
  <c r="H172" i="1" s="1"/>
  <c r="G173" i="1"/>
  <c r="H173" i="1" s="1"/>
  <c r="I175" i="1"/>
  <c r="J175" i="1"/>
  <c r="E175" i="1"/>
  <c r="A175" i="1"/>
  <c r="I173" i="1"/>
  <c r="J173" i="1"/>
  <c r="E173" i="1"/>
  <c r="A173" i="1"/>
  <c r="G171" i="1"/>
  <c r="H171" i="1" s="1"/>
  <c r="I172" i="1"/>
  <c r="J172" i="1"/>
  <c r="E172" i="1"/>
  <c r="A172" i="1"/>
  <c r="G170" i="1"/>
  <c r="H170" i="1" s="1"/>
  <c r="J171" i="1"/>
  <c r="I171" i="1"/>
  <c r="E171" i="1"/>
  <c r="A171" i="1"/>
  <c r="G169" i="1"/>
  <c r="H169" i="1" s="1"/>
  <c r="G168" i="1"/>
  <c r="H168" i="1" s="1"/>
  <c r="I170" i="1"/>
  <c r="J170" i="1"/>
  <c r="I168" i="1"/>
  <c r="J168" i="1"/>
  <c r="I169" i="1"/>
  <c r="J169" i="1"/>
  <c r="A168" i="1"/>
  <c r="A169" i="1"/>
  <c r="A170" i="1"/>
  <c r="E168" i="1"/>
  <c r="E169" i="1"/>
  <c r="E170" i="1"/>
  <c r="J166" i="1"/>
  <c r="J167" i="1"/>
  <c r="I166" i="1"/>
  <c r="I167" i="1"/>
  <c r="A167" i="1"/>
  <c r="E166" i="1"/>
  <c r="E167" i="1"/>
  <c r="H166" i="1"/>
  <c r="G167" i="1"/>
  <c r="H167" i="1" s="1"/>
  <c r="A164" i="1"/>
  <c r="A165" i="1"/>
  <c r="A166" i="1"/>
  <c r="G164" i="1"/>
  <c r="H164" i="1" s="1"/>
  <c r="J164" i="1"/>
  <c r="J165" i="1"/>
  <c r="I164" i="1"/>
  <c r="I165" i="1"/>
  <c r="E164" i="1"/>
  <c r="H165" i="1"/>
  <c r="E165" i="1"/>
  <c r="J162" i="1"/>
  <c r="J163" i="1"/>
  <c r="I161" i="1"/>
  <c r="I162" i="1"/>
  <c r="I163" i="1"/>
  <c r="H161" i="1"/>
  <c r="G163" i="1"/>
  <c r="H163" i="1" s="1"/>
  <c r="G162" i="1"/>
  <c r="H162" i="1" s="1"/>
  <c r="E163" i="1"/>
  <c r="A163" i="1"/>
  <c r="J161" i="1"/>
  <c r="E161" i="1"/>
  <c r="E162" i="1"/>
  <c r="A161" i="1"/>
  <c r="A162" i="1"/>
  <c r="H160" i="1"/>
  <c r="I160" i="1"/>
  <c r="J160" i="1"/>
  <c r="E160" i="1"/>
  <c r="A160" i="1"/>
  <c r="H157" i="1"/>
  <c r="I157" i="1"/>
  <c r="J157" i="1"/>
  <c r="H158" i="1"/>
  <c r="I158" i="1"/>
  <c r="J158" i="1"/>
  <c r="H159" i="1"/>
  <c r="I159" i="1"/>
  <c r="J159" i="1"/>
  <c r="E157" i="1"/>
  <c r="E158" i="1"/>
  <c r="E159" i="1"/>
  <c r="A157" i="1"/>
  <c r="A158" i="1"/>
  <c r="A159" i="1"/>
  <c r="H156" i="1"/>
  <c r="I156" i="1"/>
  <c r="J156" i="1"/>
  <c r="A156" i="1"/>
  <c r="E156" i="1"/>
  <c r="I154" i="1"/>
  <c r="I155" i="1"/>
  <c r="G153" i="1"/>
  <c r="H153" i="1" s="1"/>
  <c r="I153" i="1"/>
  <c r="J153" i="1"/>
  <c r="E153" i="1"/>
  <c r="A153" i="1"/>
  <c r="A154" i="1"/>
  <c r="A155" i="1"/>
  <c r="J154" i="1"/>
  <c r="G154" i="1"/>
  <c r="H154" i="1" s="1"/>
  <c r="E154" i="1"/>
  <c r="H155" i="1"/>
  <c r="J155" i="1"/>
  <c r="E155" i="1"/>
  <c r="G152" i="1"/>
  <c r="H152" i="1" s="1"/>
  <c r="H151" i="1"/>
  <c r="I151" i="1"/>
  <c r="J151" i="1"/>
  <c r="I152" i="1"/>
  <c r="J152" i="1"/>
  <c r="G150" i="1"/>
  <c r="H150" i="1" s="1"/>
  <c r="I150" i="1"/>
  <c r="J150" i="1"/>
  <c r="I149" i="1"/>
  <c r="J149" i="1"/>
  <c r="E151" i="1"/>
  <c r="E152" i="1"/>
  <c r="A151" i="1"/>
  <c r="A152" i="1"/>
  <c r="A150" i="1"/>
  <c r="E150" i="1"/>
  <c r="I148" i="1"/>
  <c r="H149" i="1"/>
  <c r="N149" i="1" s="1"/>
  <c r="A149" i="1"/>
  <c r="E149" i="1"/>
  <c r="H148" i="1"/>
  <c r="J148" i="1"/>
  <c r="A148" i="1"/>
  <c r="E148" i="1"/>
  <c r="H147" i="1"/>
  <c r="I147" i="1"/>
  <c r="J147" i="1"/>
  <c r="E147" i="1"/>
  <c r="A147" i="1"/>
  <c r="I146" i="1"/>
  <c r="J146" i="1"/>
  <c r="E146" i="1"/>
  <c r="A146" i="1"/>
  <c r="G146" i="1"/>
  <c r="H146" i="1" s="1"/>
  <c r="I124" i="1"/>
  <c r="I125" i="1"/>
  <c r="I126" i="1"/>
  <c r="I127" i="1"/>
  <c r="I128" i="1"/>
  <c r="I129" i="1"/>
  <c r="I130" i="1"/>
  <c r="I131" i="1"/>
  <c r="I132" i="1"/>
  <c r="I133" i="1"/>
  <c r="I134" i="1"/>
  <c r="I135" i="1"/>
  <c r="I136" i="1"/>
  <c r="I137" i="1"/>
  <c r="I138" i="1"/>
  <c r="I139" i="1"/>
  <c r="I140" i="1"/>
  <c r="I141" i="1"/>
  <c r="I142" i="1"/>
  <c r="I143" i="1"/>
  <c r="I144" i="1"/>
  <c r="I145" i="1"/>
  <c r="I122" i="1"/>
  <c r="H145" i="1"/>
  <c r="J145" i="1"/>
  <c r="E145" i="1"/>
  <c r="A145" i="1"/>
  <c r="E144" i="1"/>
  <c r="A144" i="1"/>
  <c r="J144" i="1"/>
  <c r="G144" i="1"/>
  <c r="N144" i="1" s="1"/>
  <c r="A142" i="1"/>
  <c r="H142" i="1"/>
  <c r="J142" i="1"/>
  <c r="E142" i="1"/>
  <c r="J143" i="1"/>
  <c r="E143" i="1"/>
  <c r="A143" i="1"/>
  <c r="G143" i="1"/>
  <c r="H143" i="1" s="1"/>
  <c r="J134" i="1"/>
  <c r="J135" i="1"/>
  <c r="J136" i="1"/>
  <c r="J137" i="1"/>
  <c r="J138" i="1"/>
  <c r="J139" i="1"/>
  <c r="J140" i="1"/>
  <c r="J141" i="1"/>
  <c r="H136" i="1"/>
  <c r="A136" i="1"/>
  <c r="E136" i="1"/>
  <c r="A141" i="1"/>
  <c r="E141" i="1"/>
  <c r="G141" i="1"/>
  <c r="H141" i="1" s="1"/>
  <c r="O122" i="11"/>
  <c r="N4" i="11"/>
  <c r="O4" i="11" s="1"/>
  <c r="N12" i="11"/>
  <c r="O12" i="11" s="1"/>
  <c r="N6" i="11"/>
  <c r="O6" i="11" s="1"/>
  <c r="O70" i="11"/>
  <c r="N3" i="11"/>
  <c r="O3" i="11" s="1"/>
  <c r="N13" i="11"/>
  <c r="O13" i="11" s="1"/>
  <c r="N5" i="11"/>
  <c r="O5" i="11" s="1"/>
  <c r="O114" i="11"/>
  <c r="N11" i="11"/>
  <c r="O11" i="11" s="1"/>
  <c r="O23" i="11"/>
  <c r="N10" i="11"/>
  <c r="O10" i="11" s="1"/>
  <c r="N17" i="11"/>
  <c r="O17" i="11" s="1"/>
  <c r="N14" i="11"/>
  <c r="O14" i="11" s="1"/>
  <c r="N8" i="11"/>
  <c r="O8" i="11" s="1"/>
  <c r="O30" i="11"/>
  <c r="O37" i="11"/>
  <c r="O66" i="11"/>
  <c r="O48" i="11"/>
  <c r="O29" i="11"/>
  <c r="O54" i="11"/>
  <c r="O9" i="11"/>
  <c r="O28" i="11"/>
  <c r="O21" i="11"/>
  <c r="O65" i="11"/>
  <c r="O39" i="11"/>
  <c r="O52" i="11"/>
  <c r="O38" i="11"/>
  <c r="O27" i="11"/>
  <c r="O74" i="11"/>
  <c r="N16" i="11"/>
  <c r="O16" i="11" s="1"/>
  <c r="O78" i="11"/>
  <c r="N15" i="11"/>
  <c r="O15" i="11" s="1"/>
  <c r="O64" i="11"/>
  <c r="O77" i="11"/>
  <c r="O35" i="11"/>
  <c r="O92" i="11"/>
  <c r="O45" i="11"/>
  <c r="O100" i="11"/>
  <c r="O63" i="11"/>
  <c r="O76" i="11"/>
  <c r="O81" i="11"/>
  <c r="O67" i="11"/>
  <c r="O73" i="11"/>
  <c r="O129" i="11"/>
  <c r="O101" i="11"/>
  <c r="O85" i="11"/>
  <c r="O80" i="11"/>
  <c r="O87" i="11"/>
  <c r="O44" i="11"/>
  <c r="O51" i="11"/>
  <c r="O22" i="11"/>
  <c r="O53" i="11"/>
  <c r="O118" i="11"/>
  <c r="O55" i="11"/>
  <c r="N7" i="11"/>
  <c r="O7" i="11" s="1"/>
  <c r="O90" i="11"/>
  <c r="O36" i="11"/>
  <c r="O41" i="11"/>
  <c r="O46" i="11"/>
  <c r="N18" i="11"/>
  <c r="O18" i="11" s="1"/>
  <c r="N19" i="11"/>
  <c r="O19" i="11" s="1"/>
  <c r="O59" i="11"/>
  <c r="O125" i="11"/>
  <c r="O119" i="11"/>
  <c r="O104" i="11"/>
  <c r="O94" i="11"/>
  <c r="O124" i="11"/>
  <c r="O75" i="11"/>
  <c r="O72" i="11"/>
  <c r="N2" i="11"/>
  <c r="O2" i="11" s="1"/>
  <c r="O136" i="11"/>
  <c r="O86" i="11"/>
  <c r="O106" i="11"/>
  <c r="O56" i="11"/>
  <c r="O42" i="11"/>
  <c r="O84" i="11"/>
  <c r="O32" i="11"/>
  <c r="O123" i="11"/>
  <c r="O130" i="11"/>
  <c r="O20" i="11"/>
  <c r="O25" i="11"/>
  <c r="O128" i="11"/>
  <c r="O138" i="11"/>
  <c r="O50" i="11"/>
  <c r="O79" i="11"/>
  <c r="O98" i="11"/>
  <c r="O117" i="11"/>
  <c r="O34" i="11"/>
  <c r="O115" i="11"/>
  <c r="O133" i="11"/>
  <c r="O31" i="11"/>
  <c r="O26" i="11"/>
  <c r="O132" i="11"/>
  <c r="O24" i="11"/>
  <c r="O61" i="11"/>
  <c r="O103" i="11"/>
  <c r="O102" i="11"/>
  <c r="O121" i="11"/>
  <c r="O99" i="11"/>
  <c r="O68" i="11"/>
  <c r="O57" i="11"/>
  <c r="O120" i="11"/>
  <c r="O126" i="11"/>
  <c r="O58" i="11"/>
  <c r="O33" i="11"/>
  <c r="O135" i="11"/>
  <c r="O43" i="11"/>
  <c r="O91" i="11"/>
  <c r="O116" i="11"/>
  <c r="O69" i="11"/>
  <c r="O95" i="11"/>
  <c r="O112" i="11"/>
  <c r="O89" i="11"/>
  <c r="O49" i="11"/>
  <c r="O40" i="11"/>
  <c r="O109" i="11"/>
  <c r="O93" i="11"/>
  <c r="O108" i="11"/>
  <c r="O97" i="11"/>
  <c r="O82" i="11"/>
  <c r="O47" i="11"/>
  <c r="O88" i="11"/>
  <c r="O96" i="11"/>
  <c r="O83" i="11"/>
  <c r="O111" i="11"/>
  <c r="O105" i="11"/>
  <c r="O71" i="11"/>
  <c r="O113" i="11"/>
  <c r="O60" i="11"/>
  <c r="O62" i="11"/>
  <c r="O127" i="11"/>
  <c r="O134" i="11"/>
  <c r="O110" i="11"/>
  <c r="O137" i="11"/>
  <c r="O107" i="11"/>
  <c r="O131" i="11"/>
  <c r="O139" i="11"/>
  <c r="G138" i="1"/>
  <c r="H138" i="1" s="1"/>
  <c r="J133" i="1"/>
  <c r="E133" i="1"/>
  <c r="A133" i="1"/>
  <c r="G133" i="1"/>
  <c r="N133" i="1" s="1"/>
  <c r="A137" i="1"/>
  <c r="A138" i="1"/>
  <c r="A139" i="1"/>
  <c r="A140" i="1"/>
  <c r="E137" i="1"/>
  <c r="E138" i="1"/>
  <c r="E139" i="1"/>
  <c r="E140" i="1"/>
  <c r="H140" i="1"/>
  <c r="G139" i="1"/>
  <c r="H139" i="1" s="1"/>
  <c r="G137" i="1"/>
  <c r="H137" i="1" s="1"/>
  <c r="H135" i="1"/>
  <c r="E135" i="1"/>
  <c r="E134" i="1"/>
  <c r="A135" i="1"/>
  <c r="A134" i="1"/>
  <c r="G134" i="1"/>
  <c r="H134" i="1" s="1"/>
  <c r="G132" i="1"/>
  <c r="H132" i="1" s="1"/>
  <c r="J132" i="1"/>
  <c r="E132" i="1"/>
  <c r="A132" i="1"/>
  <c r="H131" i="1"/>
  <c r="J131" i="1"/>
  <c r="E131" i="1"/>
  <c r="A131" i="1"/>
  <c r="G130" i="1"/>
  <c r="H130" i="1" s="1"/>
  <c r="E130" i="1"/>
  <c r="A130" i="1"/>
  <c r="J130" i="1"/>
  <c r="J129" i="1"/>
  <c r="E129" i="1"/>
  <c r="H129" i="1"/>
  <c r="A129" i="1"/>
  <c r="J128" i="1"/>
  <c r="G128" i="1"/>
  <c r="H128" i="1" s="1"/>
  <c r="A128" i="1"/>
  <c r="E128" i="1"/>
  <c r="J127" i="1"/>
  <c r="A127" i="1"/>
  <c r="G127" i="1"/>
  <c r="H127" i="1" s="1"/>
  <c r="E127" i="1"/>
  <c r="J126" i="1"/>
  <c r="G126" i="1"/>
  <c r="H126" i="1" s="1"/>
  <c r="E126" i="1"/>
  <c r="A126" i="1"/>
  <c r="J125" i="1"/>
  <c r="G125" i="1"/>
  <c r="H125" i="1" s="1"/>
  <c r="N125" i="1" s="1"/>
  <c r="E125" i="1"/>
  <c r="A124" i="1"/>
  <c r="A125" i="1"/>
  <c r="J124" i="1"/>
  <c r="H124" i="1"/>
  <c r="E124" i="1"/>
  <c r="J119" i="1"/>
  <c r="I118" i="1"/>
  <c r="I119" i="1"/>
  <c r="H119" i="1"/>
  <c r="E119" i="1"/>
  <c r="A119" i="1"/>
  <c r="I104" i="1"/>
  <c r="I105" i="1"/>
  <c r="I106" i="1"/>
  <c r="I107" i="1"/>
  <c r="I108" i="1"/>
  <c r="I109" i="1"/>
  <c r="I110" i="1"/>
  <c r="I111" i="1"/>
  <c r="I112" i="1"/>
  <c r="I113" i="1"/>
  <c r="I114" i="1"/>
  <c r="I115" i="1"/>
  <c r="I116" i="1"/>
  <c r="I117" i="1"/>
  <c r="I120" i="1"/>
  <c r="I121" i="1"/>
  <c r="I123" i="1"/>
  <c r="H112" i="1"/>
  <c r="H113" i="1"/>
  <c r="N113" i="1" s="1"/>
  <c r="H114" i="1"/>
  <c r="H115" i="1"/>
  <c r="H116" i="1"/>
  <c r="H117" i="1"/>
  <c r="H118" i="1"/>
  <c r="H120" i="1"/>
  <c r="H121" i="1"/>
  <c r="H122" i="1"/>
  <c r="H123" i="1"/>
  <c r="J118" i="1"/>
  <c r="J120" i="1"/>
  <c r="J121" i="1"/>
  <c r="J122" i="1"/>
  <c r="E118" i="1"/>
  <c r="E120" i="1"/>
  <c r="E121" i="1"/>
  <c r="E122" i="1"/>
  <c r="A120" i="1"/>
  <c r="A121" i="1"/>
  <c r="A122" i="1"/>
  <c r="J115" i="1"/>
  <c r="J116" i="1"/>
  <c r="J117" i="1"/>
  <c r="J123" i="1"/>
  <c r="A123" i="1"/>
  <c r="E123" i="1"/>
  <c r="J101" i="1"/>
  <c r="J102" i="1"/>
  <c r="J103" i="1"/>
  <c r="J104" i="1"/>
  <c r="J105" i="1"/>
  <c r="J106" i="1"/>
  <c r="J107" i="1"/>
  <c r="J108" i="1"/>
  <c r="J109" i="1"/>
  <c r="J110" i="1"/>
  <c r="J111" i="1"/>
  <c r="J112" i="1"/>
  <c r="J113" i="1"/>
  <c r="J114" i="1"/>
  <c r="H104" i="1"/>
  <c r="H105" i="1"/>
  <c r="H106" i="1"/>
  <c r="H108" i="1"/>
  <c r="H110" i="1"/>
  <c r="H111" i="1"/>
  <c r="A114" i="1"/>
  <c r="A115" i="1"/>
  <c r="E114" i="1"/>
  <c r="E115" i="1"/>
  <c r="E112" i="1"/>
  <c r="E113" i="1"/>
  <c r="E116" i="1"/>
  <c r="E117" i="1"/>
  <c r="A112" i="1"/>
  <c r="A113" i="1"/>
  <c r="A116" i="1"/>
  <c r="A117" i="1"/>
  <c r="A118" i="1"/>
  <c r="E111" i="1"/>
  <c r="A111" i="1"/>
  <c r="L188" i="1" l="1"/>
  <c r="L191" i="1"/>
  <c r="L180" i="1"/>
  <c r="L197" i="1"/>
  <c r="L181" i="1"/>
  <c r="L195" i="1"/>
  <c r="L198" i="1"/>
  <c r="L193" i="1"/>
  <c r="L196" i="1"/>
  <c r="L146" i="1"/>
  <c r="L137" i="1"/>
  <c r="L167" i="1"/>
  <c r="L182" i="1"/>
  <c r="L179" i="1"/>
  <c r="L184" i="1"/>
  <c r="L194" i="1"/>
  <c r="L190" i="1"/>
  <c r="L199" i="1"/>
  <c r="N191" i="1"/>
  <c r="L165" i="1"/>
  <c r="L192" i="1"/>
  <c r="L189" i="1"/>
  <c r="L187" i="1"/>
  <c r="L185" i="1"/>
  <c r="L186" i="1"/>
  <c r="L183" i="1"/>
  <c r="L156" i="1"/>
  <c r="L160" i="1"/>
  <c r="L175" i="1"/>
  <c r="L176" i="1"/>
  <c r="L178" i="1"/>
  <c r="L177" i="1"/>
  <c r="L174" i="1"/>
  <c r="L166" i="1"/>
  <c r="L164" i="1"/>
  <c r="L173" i="1"/>
  <c r="L170" i="1"/>
  <c r="L172" i="1"/>
  <c r="L154" i="1"/>
  <c r="L163" i="1"/>
  <c r="L158" i="1"/>
  <c r="L157" i="1"/>
  <c r="L162" i="1"/>
  <c r="L161" i="1"/>
  <c r="L155" i="1"/>
  <c r="L159" i="1"/>
  <c r="L169" i="1"/>
  <c r="L171" i="1"/>
  <c r="L168" i="1"/>
  <c r="L153" i="1"/>
  <c r="L140" i="1"/>
  <c r="L151" i="1"/>
  <c r="L152" i="1"/>
  <c r="L147" i="1"/>
  <c r="L149" i="1"/>
  <c r="L145" i="1"/>
  <c r="N152" i="1"/>
  <c r="L150" i="1"/>
  <c r="L134" i="1"/>
  <c r="L139" i="1"/>
  <c r="L141" i="1"/>
  <c r="H144" i="1"/>
  <c r="L144" i="1" s="1"/>
  <c r="L136" i="1"/>
  <c r="L117" i="1"/>
  <c r="L148" i="1"/>
  <c r="L138" i="1"/>
  <c r="L135" i="1"/>
  <c r="L142" i="1"/>
  <c r="H133" i="1"/>
  <c r="L133" i="1" s="1"/>
  <c r="L110" i="1"/>
  <c r="L143" i="1"/>
  <c r="L126" i="1"/>
  <c r="L124" i="1"/>
  <c r="L132" i="1"/>
  <c r="L131" i="1"/>
  <c r="L127" i="1"/>
  <c r="L128" i="1"/>
  <c r="L108" i="1"/>
  <c r="L115" i="1"/>
  <c r="L129" i="1"/>
  <c r="L106" i="1"/>
  <c r="L105" i="1"/>
  <c r="L104" i="1"/>
  <c r="L123" i="1"/>
  <c r="L116" i="1"/>
  <c r="L119" i="1"/>
  <c r="L122" i="1"/>
  <c r="L114" i="1"/>
  <c r="L118" i="1"/>
  <c r="L113" i="1"/>
  <c r="L130" i="1"/>
  <c r="L121" i="1"/>
  <c r="L125" i="1"/>
  <c r="L120" i="1"/>
  <c r="L111" i="1"/>
  <c r="L112" i="1"/>
  <c r="A110" i="1"/>
  <c r="E110" i="1"/>
  <c r="G109" i="1"/>
  <c r="H109" i="1" s="1"/>
  <c r="L109" i="1" s="1"/>
  <c r="G107" i="1"/>
  <c r="H107" i="1" s="1"/>
  <c r="L107" i="1" s="1"/>
  <c r="A109" i="1"/>
  <c r="E109" i="1"/>
  <c r="A108" i="1"/>
  <c r="E108" i="1"/>
  <c r="A107" i="1"/>
  <c r="E107" i="1"/>
  <c r="A106" i="1"/>
  <c r="E106" i="1"/>
  <c r="A105" i="1"/>
  <c r="E105" i="1"/>
  <c r="J99" i="1"/>
  <c r="J100" i="1"/>
  <c r="I99" i="1"/>
  <c r="I100" i="1"/>
  <c r="I101" i="1"/>
  <c r="I102" i="1"/>
  <c r="I103" i="1"/>
  <c r="H100" i="1"/>
  <c r="H99" i="1"/>
  <c r="A100" i="1"/>
  <c r="E100" i="1"/>
  <c r="A99" i="1"/>
  <c r="E99" i="1"/>
  <c r="H101" i="1"/>
  <c r="A101" i="1"/>
  <c r="E101" i="1"/>
  <c r="H102" i="1"/>
  <c r="A102" i="1"/>
  <c r="E102" i="1"/>
  <c r="H103" i="1"/>
  <c r="A103" i="1"/>
  <c r="E103" i="1"/>
  <c r="A104" i="1"/>
  <c r="E104" i="1"/>
  <c r="I96" i="1"/>
  <c r="I97" i="1"/>
  <c r="I98" i="1"/>
  <c r="H98" i="1"/>
  <c r="A98" i="1"/>
  <c r="E98" i="1"/>
  <c r="J98" i="1"/>
  <c r="H97" i="1"/>
  <c r="A97" i="1"/>
  <c r="E97" i="1"/>
  <c r="J97" i="1"/>
  <c r="H96" i="1"/>
  <c r="A96" i="1"/>
  <c r="E96" i="1"/>
  <c r="J96" i="1"/>
  <c r="I95" i="1"/>
  <c r="H95" i="1"/>
  <c r="A95" i="1"/>
  <c r="E95" i="1"/>
  <c r="J95" i="1"/>
  <c r="I94" i="1"/>
  <c r="H94" i="1"/>
  <c r="A94" i="1"/>
  <c r="E94" i="1"/>
  <c r="J94" i="1"/>
  <c r="I93" i="1"/>
  <c r="H93" i="1"/>
  <c r="A93" i="1"/>
  <c r="E93" i="1"/>
  <c r="J93" i="1"/>
  <c r="I92" i="1"/>
  <c r="H92" i="1"/>
  <c r="A92" i="1"/>
  <c r="E92" i="1"/>
  <c r="J92" i="1"/>
  <c r="I91" i="1"/>
  <c r="H91" i="1"/>
  <c r="A91" i="1"/>
  <c r="E91" i="1"/>
  <c r="J91" i="1"/>
  <c r="L98" i="1" l="1"/>
  <c r="L99" i="1"/>
  <c r="L101" i="1"/>
  <c r="L100" i="1"/>
  <c r="L103" i="1"/>
  <c r="L102" i="1"/>
  <c r="L95" i="1"/>
  <c r="L97" i="1"/>
  <c r="L93" i="1"/>
  <c r="L92" i="1"/>
  <c r="L94" i="1"/>
  <c r="L96" i="1"/>
  <c r="L91" i="1"/>
  <c r="I90" i="1"/>
  <c r="J90" i="1"/>
  <c r="H90" i="1"/>
  <c r="A90" i="1"/>
  <c r="E90" i="1"/>
  <c r="J89" i="1"/>
  <c r="I89" i="1"/>
  <c r="H89" i="1"/>
  <c r="A89" i="1"/>
  <c r="E89" i="1"/>
  <c r="I88" i="1"/>
  <c r="I87" i="1"/>
  <c r="H87" i="1"/>
  <c r="A87" i="1"/>
  <c r="E87" i="1"/>
  <c r="J87" i="1"/>
  <c r="H88" i="1"/>
  <c r="A88" i="1"/>
  <c r="E88" i="1"/>
  <c r="J88" i="1"/>
  <c r="L90" i="1" l="1"/>
  <c r="L88" i="1"/>
  <c r="L87" i="1"/>
  <c r="L89" i="1"/>
  <c r="I86" i="1"/>
  <c r="A86" i="1"/>
  <c r="E86" i="1"/>
  <c r="J86" i="1"/>
  <c r="H86" i="1"/>
  <c r="H85" i="1"/>
  <c r="I85" i="1"/>
  <c r="Q84" i="1"/>
  <c r="A85" i="1"/>
  <c r="E85" i="1"/>
  <c r="J85" i="1"/>
  <c r="I84" i="1"/>
  <c r="G84" i="1"/>
  <c r="H84" i="1" s="1"/>
  <c r="A84" i="1"/>
  <c r="E84" i="1"/>
  <c r="J84" i="1"/>
  <c r="L86" i="1" l="1"/>
  <c r="L84" i="1"/>
  <c r="L85" i="1"/>
  <c r="I81" i="1"/>
  <c r="I82" i="1"/>
  <c r="Q83" i="1"/>
  <c r="J83" i="1"/>
  <c r="I83" i="1"/>
  <c r="H83" i="1"/>
  <c r="A83" i="1"/>
  <c r="E83" i="1"/>
  <c r="Q82" i="1"/>
  <c r="H82" i="1"/>
  <c r="L82" i="1" s="1"/>
  <c r="E82" i="1"/>
  <c r="A82" i="1"/>
  <c r="J82" i="1"/>
  <c r="H81" i="1"/>
  <c r="A81" i="1"/>
  <c r="E81" i="1"/>
  <c r="J81" i="1"/>
  <c r="H80" i="1"/>
  <c r="I80" i="1"/>
  <c r="J80" i="1"/>
  <c r="A80" i="1"/>
  <c r="E80" i="1"/>
  <c r="I79" i="1"/>
  <c r="A79" i="1"/>
  <c r="E79" i="1"/>
  <c r="J79" i="1"/>
  <c r="G79" i="1"/>
  <c r="H79" i="1" s="1"/>
  <c r="I78" i="1"/>
  <c r="J78" i="1"/>
  <c r="G78" i="1"/>
  <c r="H78" i="1" s="1"/>
  <c r="A78" i="1"/>
  <c r="E78" i="1"/>
  <c r="P77" i="1"/>
  <c r="I77" i="1"/>
  <c r="H77" i="1"/>
  <c r="A77" i="1"/>
  <c r="E77" i="1"/>
  <c r="J77" i="1"/>
  <c r="A76" i="1"/>
  <c r="E76" i="1"/>
  <c r="H76" i="1"/>
  <c r="I76" i="1"/>
  <c r="J76" i="1"/>
  <c r="P75" i="1"/>
  <c r="Q75" i="1"/>
  <c r="I73" i="1"/>
  <c r="J73" i="1"/>
  <c r="I74" i="1"/>
  <c r="J74" i="1"/>
  <c r="I75" i="1"/>
  <c r="J75" i="1"/>
  <c r="E72" i="1"/>
  <c r="E73" i="1"/>
  <c r="E74" i="1"/>
  <c r="E75" i="1"/>
  <c r="A73" i="1"/>
  <c r="A74" i="1"/>
  <c r="A75" i="1"/>
  <c r="H75" i="1"/>
  <c r="H74" i="1"/>
  <c r="H73" i="1"/>
  <c r="P72" i="1"/>
  <c r="I72" i="1"/>
  <c r="J72" i="1"/>
  <c r="H72" i="1"/>
  <c r="A72" i="1"/>
  <c r="L73" i="1" l="1"/>
  <c r="L76" i="1"/>
  <c r="L83" i="1"/>
  <c r="L74" i="1"/>
  <c r="L78" i="1"/>
  <c r="L81" i="1"/>
  <c r="L79" i="1"/>
  <c r="L72" i="1"/>
  <c r="L77" i="1"/>
  <c r="L75" i="1"/>
  <c r="L80" i="1"/>
  <c r="Q71" i="1"/>
  <c r="I71" i="1"/>
  <c r="H71" i="1"/>
  <c r="A71" i="1"/>
  <c r="E71" i="1"/>
  <c r="J71" i="1"/>
  <c r="H70" i="1"/>
  <c r="I70" i="1"/>
  <c r="J70" i="1"/>
  <c r="E70" i="1"/>
  <c r="A70" i="1"/>
  <c r="G69" i="1"/>
  <c r="H69" i="1" s="1"/>
  <c r="I69" i="1"/>
  <c r="A69" i="1"/>
  <c r="E69" i="1"/>
  <c r="J69" i="1"/>
  <c r="Q68" i="1"/>
  <c r="I42" i="1"/>
  <c r="I43" i="1"/>
  <c r="I44" i="1"/>
  <c r="I45" i="1"/>
  <c r="I46" i="1"/>
  <c r="I47" i="1"/>
  <c r="I48" i="1"/>
  <c r="I49" i="1"/>
  <c r="I50" i="1"/>
  <c r="I51" i="1"/>
  <c r="I52" i="1"/>
  <c r="I53" i="1"/>
  <c r="I54" i="1"/>
  <c r="I55" i="1"/>
  <c r="I56" i="1"/>
  <c r="I57" i="1"/>
  <c r="I58" i="1"/>
  <c r="I59" i="1"/>
  <c r="I60" i="1"/>
  <c r="I61" i="1"/>
  <c r="I62" i="1"/>
  <c r="I63" i="1"/>
  <c r="I64" i="1"/>
  <c r="I65" i="1"/>
  <c r="I66" i="1"/>
  <c r="I67" i="1"/>
  <c r="I68" i="1"/>
  <c r="I41" i="1"/>
  <c r="H68" i="1"/>
  <c r="L68" i="1" s="1"/>
  <c r="A68" i="1"/>
  <c r="E68" i="1"/>
  <c r="J68" i="1"/>
  <c r="L69" i="1" l="1"/>
  <c r="L70" i="1"/>
  <c r="L71" i="1"/>
  <c r="H66" i="1"/>
  <c r="L66" i="1" s="1"/>
  <c r="A66" i="1"/>
  <c r="E66" i="1"/>
  <c r="J66" i="1"/>
  <c r="H67" i="1"/>
  <c r="A67" i="1"/>
  <c r="E67" i="1"/>
  <c r="J67" i="1"/>
  <c r="H65" i="1"/>
  <c r="L65" i="1" s="1"/>
  <c r="A65" i="1"/>
  <c r="E65" i="1"/>
  <c r="J65" i="1"/>
  <c r="H63" i="1"/>
  <c r="L63" i="1" s="1"/>
  <c r="A63" i="1"/>
  <c r="E63" i="1"/>
  <c r="J63" i="1"/>
  <c r="H64" i="1"/>
  <c r="L64" i="1" s="1"/>
  <c r="A64" i="1"/>
  <c r="E64" i="1"/>
  <c r="J64" i="1"/>
  <c r="H61" i="1"/>
  <c r="L61" i="1" s="1"/>
  <c r="A61" i="1"/>
  <c r="E61" i="1"/>
  <c r="J61" i="1"/>
  <c r="H60" i="1"/>
  <c r="L60" i="1" s="1"/>
  <c r="E60" i="1"/>
  <c r="J60" i="1"/>
  <c r="A60" i="1"/>
  <c r="A62" i="1"/>
  <c r="H62" i="1"/>
  <c r="E62" i="1"/>
  <c r="J62" i="1"/>
  <c r="H59" i="1"/>
  <c r="L59" i="1" s="1"/>
  <c r="A59" i="1"/>
  <c r="E59" i="1"/>
  <c r="J59" i="1"/>
  <c r="H57" i="1"/>
  <c r="A57" i="1"/>
  <c r="E57" i="1"/>
  <c r="J57" i="1"/>
  <c r="H58" i="1"/>
  <c r="A58" i="1"/>
  <c r="E58" i="1"/>
  <c r="J58" i="1"/>
  <c r="P54" i="1"/>
  <c r="J54" i="1"/>
  <c r="J55" i="1"/>
  <c r="J56" i="1"/>
  <c r="H54" i="1"/>
  <c r="H55" i="1"/>
  <c r="H56" i="1"/>
  <c r="E54" i="1"/>
  <c r="E55" i="1"/>
  <c r="E56" i="1"/>
  <c r="A54" i="1"/>
  <c r="A55" i="1"/>
  <c r="A56" i="1"/>
  <c r="H53" i="1"/>
  <c r="A53" i="1"/>
  <c r="E53" i="1"/>
  <c r="J53" i="1"/>
  <c r="H51" i="1"/>
  <c r="H50" i="1"/>
  <c r="A51" i="1"/>
  <c r="E51" i="1"/>
  <c r="J51" i="1"/>
  <c r="A50" i="1"/>
  <c r="E50" i="1"/>
  <c r="J50" i="1"/>
  <c r="H52" i="1"/>
  <c r="A52" i="1"/>
  <c r="E52" i="1"/>
  <c r="J52" i="1"/>
  <c r="J48" i="1"/>
  <c r="J49" i="1"/>
  <c r="H49" i="1"/>
  <c r="H48" i="1"/>
  <c r="E48" i="1"/>
  <c r="E49" i="1"/>
  <c r="A48" i="1"/>
  <c r="A49" i="1"/>
  <c r="H47" i="1"/>
  <c r="A47" i="1"/>
  <c r="C47" i="1"/>
  <c r="B47" i="1" s="1"/>
  <c r="E47" i="1"/>
  <c r="J47" i="1"/>
  <c r="L67" i="1" l="1"/>
  <c r="L58" i="1"/>
  <c r="L52" i="1"/>
  <c r="L51" i="1"/>
  <c r="L57" i="1"/>
  <c r="L49" i="1"/>
  <c r="L62" i="1"/>
  <c r="L48" i="1"/>
  <c r="L56" i="1"/>
  <c r="L53" i="1"/>
  <c r="L55" i="1"/>
  <c r="L50" i="1"/>
  <c r="L54" i="1"/>
  <c r="L47" i="1"/>
  <c r="H46" i="1"/>
  <c r="L46" i="1" s="1"/>
  <c r="A46" i="1"/>
  <c r="C46" i="1"/>
  <c r="B46" i="1" s="1"/>
  <c r="E46" i="1"/>
  <c r="J46" i="1"/>
  <c r="H45" i="1" l="1"/>
  <c r="L45" i="1" s="1"/>
  <c r="A45" i="1"/>
  <c r="C45" i="1"/>
  <c r="B45" i="1" s="1"/>
  <c r="E45" i="1"/>
  <c r="J45" i="1"/>
  <c r="H44" i="1"/>
  <c r="L44" i="1" s="1"/>
  <c r="A44" i="1"/>
  <c r="C44" i="1"/>
  <c r="B44" i="1" s="1"/>
  <c r="E44" i="1"/>
  <c r="J44" i="1"/>
  <c r="H43" i="1"/>
  <c r="L43" i="1" s="1"/>
  <c r="A43" i="1"/>
  <c r="C43" i="1"/>
  <c r="B43" i="1" s="1"/>
  <c r="E43" i="1"/>
  <c r="J43" i="1"/>
  <c r="H42" i="1" l="1"/>
  <c r="L42" i="1" s="1"/>
  <c r="A42" i="1"/>
  <c r="C42" i="1"/>
  <c r="B42" i="1" s="1"/>
  <c r="E42" i="1"/>
  <c r="J42" i="1"/>
  <c r="H41" i="1"/>
  <c r="A41" i="1"/>
  <c r="C41" i="1"/>
  <c r="B41" i="1" s="1"/>
  <c r="E41" i="1"/>
  <c r="J41" i="1"/>
  <c r="L41" i="1" l="1"/>
  <c r="I40" i="1"/>
  <c r="H40" i="1"/>
  <c r="L40" i="1" l="1"/>
  <c r="A40" i="1"/>
  <c r="C40" i="1"/>
  <c r="B40" i="1" s="1"/>
  <c r="E40" i="1"/>
  <c r="J40" i="1"/>
  <c r="H39" i="1"/>
  <c r="I39" i="1"/>
  <c r="A39" i="1"/>
  <c r="C39" i="1"/>
  <c r="B39" i="1" s="1"/>
  <c r="E39" i="1"/>
  <c r="J39" i="1"/>
  <c r="I38" i="1"/>
  <c r="J38" i="1"/>
  <c r="H38" i="1"/>
  <c r="A38" i="1"/>
  <c r="C38" i="1"/>
  <c r="B38" i="1" s="1"/>
  <c r="E38" i="1"/>
  <c r="I37" i="1"/>
  <c r="A37" i="1"/>
  <c r="C37" i="1"/>
  <c r="B37" i="1" s="1"/>
  <c r="E37" i="1"/>
  <c r="J37"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I36" i="1"/>
  <c r="J35" i="1"/>
  <c r="J36" i="1"/>
  <c r="I35" i="1"/>
  <c r="A36" i="1"/>
  <c r="C36" i="1"/>
  <c r="B36" i="1" s="1"/>
  <c r="E36" i="1"/>
  <c r="A35" i="1"/>
  <c r="C35" i="1"/>
  <c r="B35" i="1" s="1"/>
  <c r="E35" i="1"/>
  <c r="I34" i="1"/>
  <c r="A34" i="1"/>
  <c r="C34" i="1"/>
  <c r="B34" i="1" s="1"/>
  <c r="E34" i="1"/>
  <c r="J34" i="1"/>
  <c r="C33" i="1"/>
  <c r="B33" i="1" s="1"/>
  <c r="J33" i="1"/>
  <c r="I33" i="1"/>
  <c r="E33" i="1"/>
  <c r="A33" i="1"/>
  <c r="I32" i="1"/>
  <c r="A32" i="1"/>
  <c r="C32" i="1"/>
  <c r="B32" i="1" s="1"/>
  <c r="E32" i="1"/>
  <c r="J32" i="1"/>
  <c r="I31" i="1"/>
  <c r="A31" i="1"/>
  <c r="C31" i="1"/>
  <c r="B31" i="1" s="1"/>
  <c r="E31" i="1"/>
  <c r="J31" i="1"/>
  <c r="I30" i="1"/>
  <c r="A30" i="1"/>
  <c r="C30" i="1"/>
  <c r="B30" i="1" s="1"/>
  <c r="E30" i="1"/>
  <c r="J30" i="1"/>
  <c r="I29" i="1"/>
  <c r="A29" i="1"/>
  <c r="C29" i="1"/>
  <c r="B29" i="1" s="1"/>
  <c r="E29" i="1"/>
  <c r="J29" i="1"/>
  <c r="I28" i="1"/>
  <c r="C26" i="1"/>
  <c r="B26" i="1" s="1"/>
  <c r="C27" i="1"/>
  <c r="B27" i="1" s="1"/>
  <c r="C28" i="1"/>
  <c r="B28" i="1" s="1"/>
  <c r="A28" i="1"/>
  <c r="E28" i="1"/>
  <c r="J28" i="1"/>
  <c r="I27" i="1"/>
  <c r="A27" i="1"/>
  <c r="E27" i="1"/>
  <c r="J27" i="1"/>
  <c r="F2" i="2"/>
  <c r="I26" i="1"/>
  <c r="J26" i="1"/>
  <c r="E26" i="1"/>
  <c r="A26" i="1"/>
  <c r="C3" i="1"/>
  <c r="B3" i="1" s="1"/>
  <c r="C4" i="1"/>
  <c r="B4" i="1" s="1"/>
  <c r="C5" i="1"/>
  <c r="B5" i="1" s="1"/>
  <c r="C6" i="1"/>
  <c r="B6" i="1" s="1"/>
  <c r="C7" i="1"/>
  <c r="B7" i="1" s="1"/>
  <c r="C8" i="1"/>
  <c r="B8" i="1" s="1"/>
  <c r="C9" i="1"/>
  <c r="B9" i="1" s="1"/>
  <c r="C10" i="1"/>
  <c r="B10" i="1" s="1"/>
  <c r="C11" i="1"/>
  <c r="B11" i="1" s="1"/>
  <c r="C12" i="1"/>
  <c r="B12" i="1" s="1"/>
  <c r="C13" i="1"/>
  <c r="B13" i="1" s="1"/>
  <c r="C14" i="1"/>
  <c r="B14" i="1" s="1"/>
  <c r="C15" i="1"/>
  <c r="B15" i="1" s="1"/>
  <c r="C16" i="1"/>
  <c r="B16" i="1" s="1"/>
  <c r="C17" i="1"/>
  <c r="B17" i="1" s="1"/>
  <c r="C18" i="1"/>
  <c r="B18" i="1" s="1"/>
  <c r="C19" i="1"/>
  <c r="B19" i="1" s="1"/>
  <c r="C20" i="1"/>
  <c r="B20" i="1" s="1"/>
  <c r="C21" i="1"/>
  <c r="B21" i="1" s="1"/>
  <c r="C22" i="1"/>
  <c r="B22" i="1" s="1"/>
  <c r="C23" i="1"/>
  <c r="B23" i="1" s="1"/>
  <c r="C24" i="1"/>
  <c r="B24" i="1" s="1"/>
  <c r="C25" i="1"/>
  <c r="B25" i="1" s="1"/>
  <c r="A3" i="1"/>
  <c r="A4" i="1"/>
  <c r="A5" i="1"/>
  <c r="A6" i="1"/>
  <c r="A7" i="1"/>
  <c r="A8" i="1"/>
  <c r="A9" i="1"/>
  <c r="A10" i="1"/>
  <c r="A11" i="1"/>
  <c r="A12" i="1"/>
  <c r="A13" i="1"/>
  <c r="A14" i="1"/>
  <c r="A15" i="1"/>
  <c r="A16" i="1"/>
  <c r="A17" i="1"/>
  <c r="A18" i="1"/>
  <c r="A19" i="1"/>
  <c r="A20" i="1"/>
  <c r="A21" i="1"/>
  <c r="A22" i="1"/>
  <c r="A23" i="1"/>
  <c r="A24" i="1"/>
  <c r="A25" i="1"/>
  <c r="A2" i="1"/>
  <c r="I25" i="1"/>
  <c r="J25" i="1"/>
  <c r="E25" i="1"/>
  <c r="I24" i="1"/>
  <c r="J24" i="1"/>
  <c r="E23" i="1"/>
  <c r="E24" i="1"/>
  <c r="I23" i="1"/>
  <c r="J23" i="1"/>
  <c r="I21" i="1"/>
  <c r="J21" i="1"/>
  <c r="I22" i="1"/>
  <c r="J22" i="1"/>
  <c r="E21" i="1"/>
  <c r="E22" i="1"/>
  <c r="I20" i="1"/>
  <c r="J20" i="1"/>
  <c r="E20" i="1"/>
  <c r="J3" i="1"/>
  <c r="J4" i="1"/>
  <c r="J5" i="1"/>
  <c r="J6" i="1"/>
  <c r="J7" i="1"/>
  <c r="J8" i="1"/>
  <c r="J9" i="1"/>
  <c r="J10" i="1"/>
  <c r="J11" i="1"/>
  <c r="J12" i="1"/>
  <c r="J13" i="1"/>
  <c r="J14" i="1"/>
  <c r="J15" i="1"/>
  <c r="J16" i="1"/>
  <c r="J17" i="1"/>
  <c r="J18" i="1"/>
  <c r="J19" i="1"/>
  <c r="I19" i="1"/>
  <c r="E19" i="1"/>
  <c r="A2" i="2"/>
  <c r="A3" i="2" s="1"/>
  <c r="E3" i="1"/>
  <c r="E4" i="1"/>
  <c r="E5" i="1"/>
  <c r="E6" i="1"/>
  <c r="E7" i="1"/>
  <c r="E8" i="1"/>
  <c r="E9" i="1"/>
  <c r="E10" i="1"/>
  <c r="E11" i="1"/>
  <c r="E12" i="1"/>
  <c r="E13" i="1"/>
  <c r="E14" i="1"/>
  <c r="E15" i="1"/>
  <c r="E16" i="1"/>
  <c r="E17" i="1"/>
  <c r="E18" i="1"/>
  <c r="E2" i="1"/>
  <c r="I10" i="1"/>
  <c r="I8" i="1"/>
  <c r="I9" i="1"/>
  <c r="I4" i="1"/>
  <c r="I5" i="1"/>
  <c r="I6" i="1"/>
  <c r="I7" i="1"/>
  <c r="I11" i="1"/>
  <c r="I12" i="1"/>
  <c r="I13" i="1"/>
  <c r="I14" i="1"/>
  <c r="I15" i="1"/>
  <c r="I16" i="1"/>
  <c r="I17" i="1"/>
  <c r="I18" i="1"/>
  <c r="I3" i="1"/>
  <c r="M283" i="1" l="1"/>
  <c r="M282" i="1"/>
  <c r="M281" i="1"/>
  <c r="M280" i="1"/>
  <c r="M279" i="1"/>
  <c r="M278" i="1"/>
  <c r="M277" i="1"/>
  <c r="M276" i="1"/>
  <c r="M275" i="1"/>
  <c r="M274" i="1"/>
  <c r="M265" i="1"/>
  <c r="M266" i="1"/>
  <c r="M264" i="1"/>
  <c r="M268" i="1"/>
  <c r="M269" i="1"/>
  <c r="M271" i="1"/>
  <c r="M267" i="1"/>
  <c r="M270" i="1"/>
  <c r="M272" i="1"/>
  <c r="M273" i="1"/>
  <c r="C11" i="3"/>
  <c r="M262" i="1"/>
  <c r="M261" i="1"/>
  <c r="M263" i="1"/>
  <c r="M260" i="1"/>
  <c r="M259" i="1"/>
  <c r="M258" i="1"/>
  <c r="M257" i="1"/>
  <c r="M256" i="1"/>
  <c r="M255" i="1"/>
  <c r="M254" i="1"/>
  <c r="M253" i="1"/>
  <c r="M252" i="1"/>
  <c r="M246" i="1"/>
  <c r="M251" i="1"/>
  <c r="M250" i="1"/>
  <c r="M249" i="1"/>
  <c r="M248" i="1"/>
  <c r="M247" i="1"/>
  <c r="M240" i="1"/>
  <c r="M237" i="1"/>
  <c r="M239" i="1"/>
  <c r="M245" i="1"/>
  <c r="M234" i="1"/>
  <c r="M244" i="1"/>
  <c r="M243" i="1"/>
  <c r="M236" i="1"/>
  <c r="M241" i="1"/>
  <c r="M242" i="1"/>
  <c r="M229" i="1"/>
  <c r="M230" i="1"/>
  <c r="M233" i="1"/>
  <c r="M238" i="1"/>
  <c r="M232" i="1"/>
  <c r="M231" i="1"/>
  <c r="M225" i="1"/>
  <c r="M224" i="1"/>
  <c r="M223" i="1"/>
  <c r="M222" i="1"/>
  <c r="M221" i="1"/>
  <c r="M227" i="1"/>
  <c r="M216" i="1"/>
  <c r="M218" i="1"/>
  <c r="M226" i="1"/>
  <c r="M215" i="1"/>
  <c r="M217" i="1"/>
  <c r="M219" i="1"/>
  <c r="M220" i="1"/>
  <c r="M211" i="1"/>
  <c r="M209" i="1"/>
  <c r="M210" i="1"/>
  <c r="M208" i="1"/>
  <c r="M214" i="1"/>
  <c r="M212" i="1"/>
  <c r="M213" i="1"/>
  <c r="M207" i="1"/>
  <c r="M206" i="1"/>
  <c r="M205" i="1"/>
  <c r="M204" i="1"/>
  <c r="M202" i="1"/>
  <c r="M201" i="1"/>
  <c r="M195" i="1"/>
  <c r="M196" i="1"/>
  <c r="M193" i="1"/>
  <c r="M191" i="1"/>
  <c r="M200" i="1"/>
  <c r="M197" i="1"/>
  <c r="M190" i="1"/>
  <c r="M194" i="1"/>
  <c r="M185" i="1"/>
  <c r="M199" i="1"/>
  <c r="M198" i="1"/>
  <c r="M189" i="1"/>
  <c r="M188" i="1"/>
  <c r="M192" i="1"/>
  <c r="M186" i="1"/>
  <c r="M187" i="1"/>
  <c r="M184" i="1"/>
  <c r="M183" i="1"/>
  <c r="M182" i="1"/>
  <c r="M180" i="1"/>
  <c r="M181" i="1"/>
  <c r="M179" i="1"/>
  <c r="M177" i="1"/>
  <c r="M178" i="1"/>
  <c r="M174" i="1"/>
  <c r="M176" i="1"/>
  <c r="M173" i="1"/>
  <c r="M166" i="1"/>
  <c r="M167" i="1"/>
  <c r="M157" i="1"/>
  <c r="M168" i="1"/>
  <c r="M165" i="1"/>
  <c r="M164" i="1"/>
  <c r="M163" i="1"/>
  <c r="M169" i="1"/>
  <c r="M161" i="1"/>
  <c r="M172" i="1"/>
  <c r="M162" i="1"/>
  <c r="M170" i="1"/>
  <c r="M160" i="1"/>
  <c r="M159" i="1"/>
  <c r="M158" i="1"/>
  <c r="M175" i="1"/>
  <c r="M171" i="1"/>
  <c r="M156" i="1"/>
  <c r="M153" i="1"/>
  <c r="M154" i="1"/>
  <c r="M155" i="1"/>
  <c r="M146" i="1"/>
  <c r="M149" i="1"/>
  <c r="M151" i="1"/>
  <c r="M147" i="1"/>
  <c r="M148" i="1"/>
  <c r="M145" i="1"/>
  <c r="M142" i="1"/>
  <c r="M152" i="1"/>
  <c r="M150" i="1"/>
  <c r="M144" i="1"/>
  <c r="M135" i="1"/>
  <c r="M136" i="1"/>
  <c r="M134" i="1"/>
  <c r="M138" i="1"/>
  <c r="M139" i="1"/>
  <c r="M143" i="1"/>
  <c r="M140" i="1"/>
  <c r="M137" i="1"/>
  <c r="M141" i="1"/>
  <c r="M133" i="1"/>
  <c r="M127" i="1"/>
  <c r="M132" i="1"/>
  <c r="M129" i="1"/>
  <c r="M131" i="1"/>
  <c r="M126" i="1"/>
  <c r="M128" i="1"/>
  <c r="M130" i="1"/>
  <c r="M125" i="1"/>
  <c r="M119" i="1"/>
  <c r="M124" i="1"/>
  <c r="M122" i="1"/>
  <c r="M105" i="1"/>
  <c r="M106" i="1"/>
  <c r="M107" i="1"/>
  <c r="M108" i="1"/>
  <c r="M109" i="1"/>
  <c r="M110" i="1"/>
  <c r="M111" i="1"/>
  <c r="M112" i="1"/>
  <c r="M113" i="1"/>
  <c r="M117" i="1"/>
  <c r="M114" i="1"/>
  <c r="M115" i="1"/>
  <c r="M121" i="1"/>
  <c r="M116" i="1"/>
  <c r="M120" i="1"/>
  <c r="M118" i="1"/>
  <c r="M99" i="1"/>
  <c r="M95" i="1"/>
  <c r="M97" i="1"/>
  <c r="M100" i="1"/>
  <c r="M101" i="1"/>
  <c r="M98" i="1"/>
  <c r="M102" i="1"/>
  <c r="M103" i="1"/>
  <c r="M123" i="1"/>
  <c r="M96" i="1"/>
  <c r="M104" i="1"/>
  <c r="M94" i="1"/>
  <c r="M91" i="1"/>
  <c r="M93" i="1"/>
  <c r="M92" i="1"/>
  <c r="M90" i="1"/>
  <c r="M87" i="1"/>
  <c r="M89" i="1"/>
  <c r="M88" i="1"/>
  <c r="M84" i="1"/>
  <c r="M86" i="1"/>
  <c r="M85" i="1"/>
  <c r="M81" i="1"/>
  <c r="M83" i="1"/>
  <c r="M82" i="1"/>
  <c r="M76" i="1"/>
  <c r="M80" i="1"/>
  <c r="M77" i="1"/>
  <c r="M73" i="1"/>
  <c r="M79" i="1"/>
  <c r="M72" i="1"/>
  <c r="M74" i="1"/>
  <c r="M75" i="1"/>
  <c r="M78" i="1"/>
  <c r="M68" i="1"/>
  <c r="M69" i="1"/>
  <c r="M71" i="1"/>
  <c r="M70" i="1"/>
  <c r="M66" i="1"/>
  <c r="M63" i="1"/>
  <c r="M67" i="1"/>
  <c r="M65" i="1"/>
  <c r="M64" i="1"/>
  <c r="M61" i="1"/>
  <c r="M60" i="1"/>
  <c r="M62" i="1"/>
  <c r="M57" i="1"/>
  <c r="M58" i="1"/>
  <c r="M59" i="1"/>
  <c r="L2" i="1"/>
  <c r="M12" i="1"/>
  <c r="M28" i="1"/>
  <c r="M44" i="1"/>
  <c r="M45" i="1"/>
  <c r="M30" i="1"/>
  <c r="M13" i="1"/>
  <c r="M29" i="1"/>
  <c r="M33" i="1"/>
  <c r="M14" i="1"/>
  <c r="M51" i="1"/>
  <c r="M3" i="1"/>
  <c r="M16" i="1"/>
  <c r="M32" i="1"/>
  <c r="M48" i="1"/>
  <c r="M18" i="1"/>
  <c r="M34" i="1"/>
  <c r="M50" i="1"/>
  <c r="M19" i="1"/>
  <c r="M4" i="1"/>
  <c r="M20" i="1"/>
  <c r="M36" i="1"/>
  <c r="M52" i="1"/>
  <c r="M5" i="1"/>
  <c r="M21" i="1"/>
  <c r="M37" i="1"/>
  <c r="M53" i="1"/>
  <c r="M6" i="1"/>
  <c r="M22" i="1"/>
  <c r="M38" i="1"/>
  <c r="M2" i="1"/>
  <c r="M41" i="1"/>
  <c r="M7" i="1"/>
  <c r="M23" i="1"/>
  <c r="M39" i="1"/>
  <c r="M8" i="1"/>
  <c r="M24" i="1"/>
  <c r="M40" i="1"/>
  <c r="M9" i="1"/>
  <c r="M25" i="1"/>
  <c r="M10" i="1"/>
  <c r="M26" i="1"/>
  <c r="M42" i="1"/>
  <c r="M11" i="1"/>
  <c r="M27" i="1"/>
  <c r="M43" i="1"/>
  <c r="M46" i="1"/>
  <c r="M15" i="1"/>
  <c r="M31" i="1"/>
  <c r="M47" i="1"/>
  <c r="M17" i="1"/>
  <c r="M49" i="1"/>
  <c r="M35" i="1"/>
  <c r="M54" i="1"/>
  <c r="M55" i="1"/>
  <c r="M56" i="1"/>
  <c r="L39" i="1"/>
  <c r="L38" i="1"/>
  <c r="L37" i="1"/>
  <c r="L15" i="1"/>
  <c r="L36" i="1"/>
  <c r="L35" i="1"/>
  <c r="L34" i="1"/>
  <c r="L27" i="1"/>
  <c r="L11" i="1"/>
  <c r="L18" i="1"/>
  <c r="L29" i="1"/>
  <c r="L10" i="1"/>
  <c r="L9" i="1"/>
  <c r="L33" i="1"/>
  <c r="L21" i="1"/>
  <c r="L19" i="1"/>
  <c r="L28" i="1"/>
  <c r="L32" i="1"/>
  <c r="L6" i="1"/>
  <c r="L31" i="1"/>
  <c r="L30" i="1"/>
  <c r="L17" i="1"/>
  <c r="L16" i="1"/>
  <c r="L5" i="1"/>
  <c r="L4" i="1"/>
  <c r="L3" i="1"/>
  <c r="L14" i="1"/>
  <c r="L7" i="1"/>
  <c r="L8" i="1"/>
  <c r="L13" i="1"/>
  <c r="L12" i="1"/>
  <c r="L26" i="1"/>
  <c r="L20" i="1"/>
  <c r="L22" i="1"/>
  <c r="L23" i="1"/>
  <c r="L24" i="1"/>
  <c r="L25" i="1"/>
</calcChain>
</file>

<file path=xl/sharedStrings.xml><?xml version="1.0" encoding="utf-8"?>
<sst xmlns="http://schemas.openxmlformats.org/spreadsheetml/2006/main" count="1018" uniqueCount="118">
  <si>
    <t>Week #</t>
  </si>
  <si>
    <t>SBUX FY Week #</t>
  </si>
  <si>
    <t>FY Week # Helper</t>
  </si>
  <si>
    <t>Date</t>
  </si>
  <si>
    <t>Day of the week</t>
  </si>
  <si>
    <t>Store</t>
  </si>
  <si>
    <t>SCG mass lbs</t>
  </si>
  <si>
    <t>Net lbs</t>
  </si>
  <si>
    <t># of Days between collections</t>
  </si>
  <si>
    <t>Days Since 1st Collection</t>
  </si>
  <si>
    <t>Who initiated pickup?</t>
  </si>
  <si>
    <t>Per Day (lbs)</t>
  </si>
  <si>
    <t>Running Total</t>
  </si>
  <si>
    <t>Master Gardener</t>
  </si>
  <si>
    <t>Cardboard (lbs)</t>
  </si>
  <si>
    <t>Food Waste (lbs)</t>
  </si>
  <si>
    <t>100 East 10th Street</t>
  </si>
  <si>
    <t>Me</t>
  </si>
  <si>
    <t>Scheduled</t>
  </si>
  <si>
    <t>Stats since Apr. 24, 2023</t>
  </si>
  <si>
    <t>Top 10 Collections</t>
  </si>
  <si>
    <t>Values</t>
  </si>
  <si>
    <t>Total Collected lbs</t>
  </si>
  <si>
    <t>Avg lbs per day since prev collection</t>
  </si>
  <si>
    <t xml:space="preserve"># of Days between collections </t>
  </si>
  <si>
    <t>Collections by Month</t>
  </si>
  <si>
    <t>Total Coffee Grounds Collected</t>
  </si>
  <si>
    <t>lbs</t>
  </si>
  <si>
    <t xml:space="preserve"> Net lbs</t>
  </si>
  <si>
    <t>Number of Collections</t>
  </si>
  <si>
    <t>Row Labels</t>
  </si>
  <si>
    <t>Grand Total</t>
  </si>
  <si>
    <t>Avg # of Days between collections</t>
  </si>
  <si>
    <t>days</t>
  </si>
  <si>
    <t>Avg lbs per collection</t>
  </si>
  <si>
    <t>Avg lbs per day</t>
  </si>
  <si>
    <t>Collections by Day of the Week</t>
  </si>
  <si>
    <t xml:space="preserve"># of Collections </t>
  </si>
  <si>
    <t>Avg per pickup</t>
  </si>
  <si>
    <t>Monday</t>
  </si>
  <si>
    <t>10</t>
  </si>
  <si>
    <t>Thursday</t>
  </si>
  <si>
    <t>Wednesday</t>
  </si>
  <si>
    <t>Tuesday</t>
  </si>
  <si>
    <t>Friday</t>
  </si>
  <si>
    <t>Sunday</t>
  </si>
  <si>
    <t xml:space="preserve"> </t>
  </si>
  <si>
    <t>Saturday</t>
  </si>
  <si>
    <t>Master Gardender SCG Deposits</t>
  </si>
  <si>
    <t>Spent Coffee Grounds (lbs)</t>
  </si>
  <si>
    <t>Sum of Master Gardener</t>
  </si>
  <si>
    <t>(blank)</t>
  </si>
  <si>
    <t xml:space="preserve">Net lbs </t>
  </si>
  <si>
    <t xml:space="preserve">Average of Net lbs </t>
  </si>
  <si>
    <t xml:space="preserve">StdDev of Net lbs </t>
  </si>
  <si>
    <t xml:space="preserve">Max of Net lbs </t>
  </si>
  <si>
    <t xml:space="preserve">Min of Net lbs </t>
  </si>
  <si>
    <t>Calendar Date</t>
  </si>
  <si>
    <t>Store List</t>
  </si>
  <si>
    <t>Lattitude</t>
  </si>
  <si>
    <t>Longitude</t>
  </si>
  <si>
    <t>Roundtrip distance (mi)</t>
  </si>
  <si>
    <t>Container List</t>
  </si>
  <si>
    <t>Container weight</t>
  </si>
  <si>
    <t>Hyper Tough Black</t>
  </si>
  <si>
    <t>Greenville Blvd &amp; Red Banks Rd</t>
  </si>
  <si>
    <t>Mike's</t>
  </si>
  <si>
    <t>Stanton Sq &amp; Arlington Dr</t>
  </si>
  <si>
    <t>E. Fire Tower Rd &amp; E. Arlingto</t>
  </si>
  <si>
    <t>Winterville</t>
  </si>
  <si>
    <t>Fleet Feet Greenville</t>
  </si>
  <si>
    <t>Sum of Net lbs</t>
  </si>
  <si>
    <t>Avg lbs per week</t>
  </si>
  <si>
    <t>Min</t>
  </si>
  <si>
    <t>Max</t>
  </si>
  <si>
    <t>St Dev</t>
  </si>
  <si>
    <t>Wk 24 2024</t>
  </si>
  <si>
    <t>Wk 46 2023</t>
  </si>
  <si>
    <t>Miles Driven</t>
  </si>
  <si>
    <t>Route</t>
  </si>
  <si>
    <t>Home to 100 East 10th Street</t>
  </si>
  <si>
    <t>Trinity to 100 East 10th Street</t>
  </si>
  <si>
    <t>Miles Driven (Roundtrip)</t>
  </si>
  <si>
    <t>Trinity 3 Store Loop</t>
  </si>
  <si>
    <t>Home to Red Banks</t>
  </si>
  <si>
    <t>Red Banks to 10th Street</t>
  </si>
  <si>
    <t>10th St to Stanton to Home</t>
  </si>
  <si>
    <t>1/26/2026</t>
  </si>
  <si>
    <t>Notes</t>
  </si>
  <si>
    <t>Store was closed for the day due to snow storm. Wasn't able to haul one bin because it was inside of the store. Dropped off 2 fresh bins, will pick up the 3rd bin next Mon.</t>
  </si>
  <si>
    <t>Store was closed for the day due to snow storm. Both bins had over 200lbs in them. Needed to spread out scg to one of the fresh bins because they were too heavy. Will drop off 2nd, empty bin later in the week</t>
  </si>
  <si>
    <t xml:space="preserve">Dropped off 2 empty bins and recovered the bin I dropped off on Mon. </t>
  </si>
  <si>
    <t>Store closed early at 4pm due to the 10in of snow</t>
  </si>
  <si>
    <t>3 bins; 3rd bin leftover from the snowstorm last week</t>
  </si>
  <si>
    <t xml:space="preserve">Last Pickup before program revamp. </t>
  </si>
  <si>
    <t>Resuming program after changing bins and process redesign</t>
  </si>
  <si>
    <t>Last day before store remodel</t>
  </si>
  <si>
    <t>1st day back after store remodel</t>
  </si>
  <si>
    <t>Over bin capacity, some grounds had to be thrown away. Will add 3rd bin.</t>
  </si>
  <si>
    <t>Over bin capacity, some grounds had to be thrown away. Added 3rd bin.</t>
  </si>
  <si>
    <t>Reached capacity before the next pickup day. Will return the following Mon</t>
  </si>
  <si>
    <t>10th Street to Stanton Sq</t>
  </si>
  <si>
    <t>Stanton to Red Banks to home</t>
  </si>
  <si>
    <t>Red Banks to Stanton to Home</t>
  </si>
  <si>
    <t>Red Banks to 10th to Home</t>
  </si>
  <si>
    <t>Home to Stanton - Roundtrip</t>
  </si>
  <si>
    <t>Truck Odometer</t>
  </si>
  <si>
    <t>Home to 10th</t>
  </si>
  <si>
    <t>10th to Red Banks to Home</t>
  </si>
  <si>
    <t>MG Deposit Date</t>
  </si>
  <si>
    <t>Home to Winterville (Bypass)</t>
  </si>
  <si>
    <t>Winterville to Red Banks</t>
  </si>
  <si>
    <t>1st Winterville Collection! Welcome to the team!</t>
  </si>
  <si>
    <t>Home to Winterville (Arboretum to Memorial)</t>
  </si>
  <si>
    <t>Home to Stanton</t>
  </si>
  <si>
    <t>Stanton to 10th</t>
  </si>
  <si>
    <t>10th to Red Banks</t>
  </si>
  <si>
    <t>Red Banks to Winterville to Home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</si>
</sst>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18" x14ac:knownFonts="1">
    <font>
      <sz val="11"/>
      <color theme="1"/>
      <name val="Calibri"/>
      <family val="2"/>
      <scheme val="minor"/>
    </font>
    <font>
      <sz val="11"/>
      <color rgb="FF444444"/>
      <name val="Calibri"/>
      <family val="2"/>
      <charset val="1"/>
    </font>
    <font>
      <sz val="11"/>
      <name val="Calibri"/>
      <family val="2"/>
      <scheme val="minor"/>
    </font>
    <font>
      <sz val="11"/>
      <color theme="1"/>
      <name val="Pike Bold"/>
      <family val="3"/>
    </font>
    <font>
      <b/>
      <sz val="15"/>
      <color theme="1"/>
      <name val="Pike Bold"/>
      <family val="3"/>
    </font>
    <font>
      <b/>
      <sz val="11"/>
      <color theme="1"/>
      <name val="Pike Bold"/>
      <family val="3"/>
    </font>
    <font>
      <sz val="8"/>
      <name val="Calibri"/>
      <family val="2"/>
      <scheme val="minor"/>
    </font>
    <font>
      <b/>
      <sz val="12"/>
      <color theme="0"/>
      <name val="Pike Bold"/>
      <family val="3"/>
    </font>
    <font>
      <sz val="12"/>
      <color theme="1"/>
      <name val="Pike Bold"/>
      <family val="3"/>
    </font>
    <font>
      <b/>
      <sz val="12"/>
      <color theme="1"/>
      <name val="Pike Bold"/>
      <family val="3"/>
    </font>
    <font>
      <b/>
      <sz val="11"/>
      <color theme="0"/>
      <name val="Pike Bold"/>
      <family val="3"/>
    </font>
    <font>
      <sz val="11"/>
      <color theme="1"/>
      <name val="Pike Bold"/>
    </font>
    <font>
      <sz val="11"/>
      <color theme="0"/>
      <name val="Pike Bold"/>
    </font>
    <font>
      <sz val="12"/>
      <color theme="0"/>
      <name val="Pike Bold"/>
    </font>
    <font>
      <sz val="12"/>
      <color theme="1"/>
      <name val="Pike Bold"/>
    </font>
    <font>
      <b/>
      <sz val="12"/>
      <color theme="1"/>
      <name val="Pike Bold"/>
    </font>
    <font>
      <b/>
      <sz val="12"/>
      <color theme="0"/>
      <name val="Pike Bold"/>
    </font>
    <font>
      <b/>
      <sz val="14"/>
      <color theme="0"/>
      <name val="Pike Bold"/>
    </font>
  </fonts>
  <fills count="4">
    <fill>
      <patternFill patternType="none"/>
    </fill>
    <fill>
      <patternFill patternType="gray125"/>
    </fill>
    <fill>
      <patternFill patternType="solid">
        <fgColor theme="1"/>
        <bgColor indexed="64"/>
      </patternFill>
    </fill>
    <fill>
      <patternFill patternType="solid">
        <fgColor rgb="FF1B2A24"/>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1">
    <xf numFmtId="0" fontId="0" fillId="0" borderId="0"/>
  </cellStyleXfs>
  <cellXfs count="66">
    <xf numFmtId="0" fontId="0" fillId="0" borderId="0" xfId="0"/>
    <xf numFmtId="14" fontId="0" fillId="0" borderId="0" xfId="0" applyNumberFormat="1"/>
    <xf numFmtId="0" fontId="0" fillId="0" borderId="0" xfId="0" applyAlignment="1">
      <alignment horizontal="center"/>
    </xf>
    <xf numFmtId="3" fontId="0" fillId="0" borderId="0" xfId="0" applyNumberFormat="1"/>
    <xf numFmtId="0" fontId="0" fillId="0" borderId="0" xfId="0" applyAlignment="1">
      <alignment wrapText="1"/>
    </xf>
    <xf numFmtId="0" fontId="0" fillId="0" borderId="0" xfId="0" applyAlignment="1">
      <alignment horizontal="center" wrapText="1"/>
    </xf>
    <xf numFmtId="164" fontId="0" fillId="0" borderId="0" xfId="0" applyNumberFormat="1" applyAlignment="1">
      <alignment horizontal="center"/>
    </xf>
    <xf numFmtId="0" fontId="0" fillId="0" borderId="0" xfId="0" applyAlignment="1">
      <alignment horizontal="right"/>
    </xf>
    <xf numFmtId="0" fontId="1" fillId="0" borderId="0" xfId="0" applyFont="1"/>
    <xf numFmtId="0" fontId="0" fillId="0" borderId="0" xfId="0" applyAlignment="1">
      <alignment horizontal="right" wrapText="1"/>
    </xf>
    <xf numFmtId="14" fontId="0" fillId="0" borderId="0" xfId="0" applyNumberFormat="1" applyAlignment="1">
      <alignment horizontal="right"/>
    </xf>
    <xf numFmtId="0" fontId="2" fillId="2" borderId="0" xfId="0" applyFont="1" applyFill="1"/>
    <xf numFmtId="0" fontId="0" fillId="2" borderId="0" xfId="0" applyFill="1"/>
    <xf numFmtId="0" fontId="3" fillId="0" borderId="0" xfId="0" applyFont="1"/>
    <xf numFmtId="0" fontId="4" fillId="0" borderId="0" xfId="0" applyFont="1"/>
    <xf numFmtId="0" fontId="3" fillId="0" borderId="0" xfId="0" applyFont="1" applyAlignment="1">
      <alignment horizontal="right"/>
    </xf>
    <xf numFmtId="0" fontId="3" fillId="0" borderId="0" xfId="0" applyFont="1" applyAlignment="1">
      <alignment horizontal="left"/>
    </xf>
    <xf numFmtId="0" fontId="3" fillId="0" borderId="0" xfId="0" applyFont="1" applyAlignment="1">
      <alignment horizontal="center"/>
    </xf>
    <xf numFmtId="0" fontId="4" fillId="0" borderId="0" xfId="0" applyFont="1" applyAlignment="1">
      <alignment horizontal="left"/>
    </xf>
    <xf numFmtId="49" fontId="5" fillId="0" borderId="0" xfId="0" applyNumberFormat="1" applyFont="1" applyAlignment="1">
      <alignment horizontal="right"/>
    </xf>
    <xf numFmtId="1" fontId="3" fillId="0" borderId="0" xfId="0" applyNumberFormat="1" applyFont="1" applyAlignment="1">
      <alignment horizontal="right"/>
    </xf>
    <xf numFmtId="0" fontId="7" fillId="3" borderId="2" xfId="0" applyFont="1" applyFill="1" applyBorder="1"/>
    <xf numFmtId="0" fontId="9" fillId="0" borderId="1" xfId="0" applyFont="1" applyBorder="1"/>
    <xf numFmtId="0" fontId="8" fillId="0" borderId="1" xfId="0" applyFont="1" applyBorder="1"/>
    <xf numFmtId="1" fontId="0" fillId="0" borderId="0" xfId="0" applyNumberFormat="1" applyAlignment="1">
      <alignment horizontal="center"/>
    </xf>
    <xf numFmtId="0" fontId="10" fillId="3" borderId="5" xfId="0" applyFont="1" applyFill="1" applyBorder="1"/>
    <xf numFmtId="1" fontId="10" fillId="3" borderId="5" xfId="0" applyNumberFormat="1" applyFont="1" applyFill="1" applyBorder="1" applyAlignment="1">
      <alignment horizontal="center"/>
    </xf>
    <xf numFmtId="49" fontId="0" fillId="0" borderId="0" xfId="0" applyNumberFormat="1" applyAlignment="1">
      <alignment wrapText="1"/>
    </xf>
    <xf numFmtId="49" fontId="0" fillId="0" borderId="0" xfId="0" applyNumberFormat="1"/>
    <xf numFmtId="1" fontId="0" fillId="0" borderId="0" xfId="0" applyNumberFormat="1"/>
    <xf numFmtId="1" fontId="0" fillId="0" borderId="0" xfId="0" applyNumberFormat="1" applyAlignment="1">
      <alignment wrapText="1"/>
    </xf>
    <xf numFmtId="0" fontId="12" fillId="3" borderId="0" xfId="0" applyFont="1" applyFill="1" applyAlignment="1">
      <alignment horizontal="center"/>
    </xf>
    <xf numFmtId="1" fontId="12" fillId="3" borderId="0" xfId="0" applyNumberFormat="1" applyFont="1" applyFill="1" applyAlignment="1">
      <alignment horizontal="center"/>
    </xf>
    <xf numFmtId="0" fontId="13" fillId="3" borderId="3" xfId="0" applyFont="1" applyFill="1" applyBorder="1"/>
    <xf numFmtId="0" fontId="13" fillId="3" borderId="3" xfId="0" applyFont="1" applyFill="1" applyBorder="1" applyAlignment="1">
      <alignment horizontal="center"/>
    </xf>
    <xf numFmtId="1" fontId="11" fillId="0" borderId="4" xfId="0" applyNumberFormat="1" applyFont="1" applyBorder="1" applyAlignment="1">
      <alignment horizontal="center"/>
    </xf>
    <xf numFmtId="0" fontId="12" fillId="3" borderId="0" xfId="0" applyFont="1" applyFill="1" applyAlignment="1">
      <alignment wrapText="1"/>
    </xf>
    <xf numFmtId="1" fontId="0" fillId="0" borderId="0" xfId="0" applyNumberFormat="1" applyAlignment="1">
      <alignment horizontal="center" wrapText="1"/>
    </xf>
    <xf numFmtId="0" fontId="0" fillId="0" borderId="0" xfId="0" pivotButton="1"/>
    <xf numFmtId="0" fontId="0" fillId="0" borderId="0" xfId="0" applyAlignment="1">
      <alignment horizontal="left"/>
    </xf>
    <xf numFmtId="14" fontId="0" fillId="0" borderId="0" xfId="0" applyNumberFormat="1" applyAlignment="1">
      <alignment horizontal="left"/>
    </xf>
    <xf numFmtId="165" fontId="11" fillId="0" borderId="4" xfId="0" applyNumberFormat="1" applyFont="1" applyBorder="1" applyAlignment="1">
      <alignment horizontal="left"/>
    </xf>
    <xf numFmtId="0" fontId="16" fillId="3" borderId="3" xfId="0" applyFont="1" applyFill="1" applyBorder="1"/>
    <xf numFmtId="0" fontId="17" fillId="3" borderId="3" xfId="0" applyFont="1" applyFill="1" applyBorder="1"/>
    <xf numFmtId="1" fontId="16" fillId="3" borderId="0" xfId="0" applyNumberFormat="1" applyFont="1" applyFill="1" applyAlignment="1">
      <alignment horizontal="center"/>
    </xf>
    <xf numFmtId="164" fontId="0" fillId="0" borderId="0" xfId="0" applyNumberFormat="1" applyAlignment="1">
      <alignment horizontal="center" wrapText="1"/>
    </xf>
    <xf numFmtId="0" fontId="0" fillId="0" borderId="0" xfId="0" pivotButton="1" applyAlignment="1">
      <alignment horizontal="left"/>
    </xf>
    <xf numFmtId="2" fontId="0" fillId="0" borderId="0" xfId="0" applyNumberFormat="1" applyAlignment="1">
      <alignment horizontal="center"/>
    </xf>
    <xf numFmtId="164" fontId="0" fillId="0" borderId="0" xfId="0" applyNumberFormat="1"/>
    <xf numFmtId="164" fontId="0" fillId="0" borderId="1" xfId="0" applyNumberFormat="1" applyBorder="1" applyAlignment="1">
      <alignment horizontal="center"/>
    </xf>
    <xf numFmtId="0" fontId="0" fillId="0" borderId="6" xfId="0" applyBorder="1" applyAlignment="1">
      <alignment horizontal="center"/>
    </xf>
    <xf numFmtId="1" fontId="0" fillId="0" borderId="0" xfId="0" applyNumberFormat="1" applyAlignment="1">
      <alignment horizontal="left"/>
    </xf>
    <xf numFmtId="0" fontId="0" fillId="0" borderId="0" xfId="0" applyAlignment="1">
      <alignment horizontal="left" wrapText="1"/>
    </xf>
    <xf numFmtId="165" fontId="11" fillId="0" borderId="4" xfId="0" applyNumberFormat="1" applyFont="1" applyBorder="1" applyAlignment="1">
      <alignment horizontal="center"/>
    </xf>
    <xf numFmtId="1" fontId="0" fillId="0" borderId="0" xfId="0" applyNumberFormat="1" applyAlignment="1">
      <alignment horizontal="right"/>
    </xf>
    <xf numFmtId="14" fontId="0" fillId="0" borderId="0" xfId="0" applyNumberFormat="1" applyAlignment="1">
      <alignment horizontal="center" wrapText="1"/>
    </xf>
    <xf numFmtId="14" fontId="0" fillId="0" borderId="0" xfId="0" applyNumberFormat="1" applyAlignment="1">
      <alignment horizontal="center"/>
    </xf>
    <xf numFmtId="0" fontId="12" fillId="3" borderId="0" xfId="0" applyFont="1" applyFill="1"/>
    <xf numFmtId="0" fontId="11" fillId="0" borderId="4" xfId="0" applyFont="1" applyBorder="1" applyAlignment="1">
      <alignment horizontal="center"/>
    </xf>
    <xf numFmtId="0" fontId="14" fillId="0" borderId="1" xfId="0" applyFont="1" applyBorder="1" applyAlignment="1">
      <alignment horizontal="left"/>
    </xf>
    <xf numFmtId="1" fontId="15" fillId="0" borderId="1" xfId="0" applyNumberFormat="1" applyFont="1" applyBorder="1" applyAlignment="1">
      <alignment horizontal="center"/>
    </xf>
    <xf numFmtId="164" fontId="15" fillId="0" borderId="1" xfId="0" applyNumberFormat="1" applyFont="1" applyBorder="1" applyAlignment="1">
      <alignment horizontal="center"/>
    </xf>
    <xf numFmtId="0" fontId="11" fillId="0" borderId="4" xfId="0" applyFont="1" applyBorder="1" applyAlignment="1">
      <alignment horizontal="left"/>
    </xf>
    <xf numFmtId="1" fontId="11" fillId="0" borderId="4" xfId="0" applyNumberFormat="1" applyFont="1" applyBorder="1" applyAlignment="1">
      <alignment horizontal="center" wrapText="1"/>
    </xf>
    <xf numFmtId="0" fontId="16" fillId="3" borderId="0" xfId="0" applyFont="1" applyFill="1"/>
    <xf numFmtId="14" fontId="0" fillId="0" borderId="5" xfId="0" applyNumberFormat="1" applyBorder="1" applyAlignment="1">
      <alignment horizontal="right"/>
    </xf>
  </cellXfs>
  <cellStyles count="1">
    <cellStyle name="Normal" xfId="0" builtinId="0"/>
  </cellStyles>
  <dxfs count="237">
    <dxf>
      <fill>
        <patternFill>
          <bgColor theme="5" tint="0.39994506668294322"/>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ont>
        <color rgb="FF006100"/>
      </font>
      <fill>
        <patternFill>
          <bgColor rgb="FFC6EFCE"/>
        </patternFill>
      </fill>
    </dxf>
    <dxf>
      <fill>
        <patternFill>
          <bgColor theme="5" tint="0.39994506668294322"/>
        </patternFill>
      </fill>
    </dxf>
    <dxf>
      <fill>
        <patternFill>
          <bgColor theme="5" tint="0.39994506668294322"/>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fill>
        <patternFill>
          <bgColor theme="5" tint="0.39994506668294322"/>
        </patternFill>
      </fill>
    </dxf>
    <dxf>
      <fill>
        <patternFill>
          <bgColor theme="5" tint="0.39994506668294322"/>
        </patternFill>
      </fill>
    </dxf>
    <dxf>
      <font>
        <color rgb="FF006100"/>
      </font>
      <fill>
        <patternFill>
          <bgColor rgb="FFC6EFCE"/>
        </patternFill>
      </fill>
    </dxf>
    <dxf>
      <font>
        <color rgb="FF006100"/>
      </font>
      <fill>
        <patternFill>
          <bgColor rgb="FFC6EFCE"/>
        </patternFill>
      </fill>
    </dxf>
    <dxf>
      <fill>
        <patternFill>
          <bgColor theme="5" tint="0.39994506668294322"/>
        </patternFill>
      </fill>
    </dxf>
    <dxf>
      <font>
        <color rgb="FF006100"/>
      </font>
      <fill>
        <patternFill>
          <bgColor rgb="FFC6EFCE"/>
        </patternFill>
      </fill>
    </dxf>
    <dxf>
      <numFmt numFmtId="1" formatCode="0"/>
    </dxf>
    <dxf>
      <numFmt numFmtId="1" formatCode="0"/>
    </dxf>
    <dxf>
      <alignment horizontal="left"/>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numFmt numFmtId="1" formatCode="0"/>
    </dxf>
    <dxf>
      <numFmt numFmtId="1" formatCode="0"/>
    </dxf>
    <dxf>
      <numFmt numFmtId="1" formatCode="0"/>
    </dxf>
    <dxf>
      <numFmt numFmtId="1" formatCode="0"/>
    </dxf>
    <dxf>
      <numFmt numFmtId="19" formatCode="m/d/yyyy"/>
    </dxf>
    <dxf>
      <numFmt numFmtId="19" formatCode="m/d/yyyy"/>
    </dxf>
    <dxf>
      <numFmt numFmtId="19" formatCode="m/d/yyyy"/>
    </dxf>
    <dxf>
      <numFmt numFmtId="19" formatCode="m/d/yyyy"/>
    </dxf>
    <dxf>
      <font>
        <b/>
        <sz val="12"/>
        <color theme="0"/>
        <name val="Pike Bold"/>
        <scheme val="none"/>
      </font>
      <fill>
        <patternFill patternType="solid">
          <fgColor indexed="64"/>
          <bgColor rgb="FF1B2A24"/>
        </patternFill>
      </fill>
      <alignment horizontal="general" vertical="bottom" textRotation="0" wrapText="0" indent="0" justifyLastLine="0" shrinkToFit="0" readingOrder="0"/>
    </dxf>
    <dxf>
      <font>
        <b/>
        <sz val="12"/>
        <color theme="0"/>
        <name val="Pike Bold"/>
        <scheme val="none"/>
      </font>
      <fill>
        <patternFill patternType="solid">
          <fgColor indexed="64"/>
          <bgColor rgb="FF1B2A24"/>
        </patternFill>
      </fill>
      <alignment horizontal="general" vertical="bottom" textRotation="0" wrapText="0" indent="0" justifyLastLine="0" shrinkToFit="0" readingOrder="0"/>
    </dxf>
    <dxf>
      <numFmt numFmtId="1" formatCode="0"/>
    </dxf>
    <dxf>
      <numFmt numFmtId="164" formatCode="0.0"/>
    </dxf>
    <dxf>
      <alignment horizontal="right"/>
    </dxf>
    <dxf>
      <numFmt numFmtId="1" formatCode="0"/>
    </dxf>
    <dxf>
      <alignment horizontal="center"/>
    </dxf>
    <dxf>
      <alignment horizontal="center"/>
    </dxf>
    <dxf>
      <alignment horizontal="center"/>
    </dxf>
    <dxf>
      <alignment horizontal="cent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rgb="FF1B2A24"/>
        </patternFill>
      </fill>
      <alignment horizontal="general" vertical="bottom" textRotation="0" wrapText="0" indent="0" justifyLastLine="0" shrinkToFit="0" readingOrder="0"/>
    </dxf>
    <dxf>
      <font>
        <color theme="0"/>
      </font>
      <fill>
        <patternFill patternType="solid">
          <fgColor indexed="64"/>
          <bgColor rgb="FF1B2A24"/>
        </patternFill>
      </fill>
      <alignment horizontal="general" vertical="bottom" textRotation="0" wrapText="0" indent="0" justifyLastLine="0" shrinkToFit="0" readingOrder="0"/>
    </dxf>
    <dxf>
      <font>
        <color theme="0"/>
      </font>
      <fill>
        <patternFill patternType="solid">
          <fgColor indexed="64"/>
          <bgColor rgb="FF1B2A24"/>
        </patternFill>
      </fill>
      <alignment horizontal="general" vertical="bottom" textRotation="0" wrapText="0" indent="0" justifyLastLine="0" shrinkToFit="0" readingOrder="0"/>
    </dxf>
    <dxf>
      <font>
        <color theme="0"/>
      </font>
      <fill>
        <patternFill patternType="solid">
          <fgColor indexed="64"/>
          <bgColor rgb="FF1B2A24"/>
        </patternFill>
      </fill>
      <alignment horizontal="general" vertical="bottom" textRotation="0" wrapText="0" indent="0" justifyLastLine="0" shrinkToFit="0" readingOrder="0"/>
    </dxf>
    <dxf>
      <font>
        <name val="Pike Bold"/>
      </font>
    </dxf>
    <dxf>
      <font>
        <name val="Pike Bold"/>
      </font>
    </dxf>
    <dxf>
      <font>
        <name val="Pike Bold"/>
      </font>
    </dxf>
    <dxf>
      <font>
        <name val="Pike Bold"/>
      </font>
    </dxf>
    <dxf>
      <font>
        <name val="Pike Bold"/>
      </font>
    </dxf>
    <dxf>
      <font>
        <name val="Pike Bold"/>
      </font>
    </dxf>
    <dxf>
      <alignment horizontal="center"/>
    </dxf>
    <dxf>
      <alignment horizontal="center"/>
    </dxf>
    <dxf>
      <fill>
        <patternFill patternType="none"/>
      </fill>
    </dxf>
    <dxf>
      <fill>
        <patternFill patternType="none"/>
      </fill>
    </dxf>
    <dxf>
      <fill>
        <patternFill patternType="none"/>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numFmt numFmtId="1" formatCode="0"/>
    </dxf>
    <dxf>
      <numFmt numFmtId="1" formatCode="0"/>
    </dxf>
    <dxf>
      <numFmt numFmtId="164" formatCode="0.0"/>
    </dxf>
    <dxf>
      <alignment wrapText="1"/>
    </dxf>
    <dxf>
      <numFmt numFmtId="164" formatCode="0.0"/>
    </dxf>
    <dxf>
      <alignment horizontal="left"/>
    </dxf>
    <dxf>
      <alignment horizontal="left"/>
    </dxf>
    <dxf>
      <alignment horizontal="left"/>
    </dxf>
    <dxf>
      <alignment horizontal="left"/>
    </dxf>
    <dxf>
      <alignment horizontal="left"/>
    </dxf>
    <dxf>
      <numFmt numFmtId="1" formatCode="0"/>
    </dxf>
    <dxf>
      <numFmt numFmtId="1" formatCode="0"/>
    </dxf>
    <dxf>
      <alignment horizontal="center"/>
    </dxf>
    <dxf>
      <alignment wrapText="1"/>
    </dxf>
    <dxf>
      <alignment wrapText="1"/>
    </dxf>
    <dxf>
      <alignment wrapText="1"/>
    </dxf>
    <dxf>
      <numFmt numFmtId="165" formatCode="[$-F800]dddd\,\ mmmm\ dd\,\ yyyy"/>
    </dxf>
    <dxf>
      <alignment horizontal="center"/>
    </dxf>
    <dxf>
      <font>
        <color theme="0"/>
      </font>
      <fill>
        <patternFill patternType="solid">
          <fgColor indexed="64"/>
          <bgColor rgb="FF1B2A24"/>
        </patternFill>
      </fill>
    </dxf>
    <dxf>
      <font>
        <color theme="0"/>
      </font>
      <fill>
        <patternFill patternType="solid">
          <fgColor indexed="64"/>
          <bgColor rgb="FF1B2A24"/>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fill>
        <patternFill patternType="solid">
          <fgColor indexed="64"/>
          <bgColor rgb="FF1B2A24"/>
        </patternFill>
      </fill>
      <alignment horizontal="general" vertical="bottom" textRotation="0" wrapText="0" indent="0" justifyLastLine="0" shrinkToFit="0" readingOrder="0"/>
    </dxf>
    <dxf>
      <font>
        <color theme="0"/>
      </font>
      <fill>
        <patternFill patternType="solid">
          <fgColor indexed="64"/>
          <bgColor rgb="FF1B2A24"/>
        </patternFill>
      </fill>
      <alignment horizontal="general" vertical="bottom" textRotation="0" wrapText="0" indent="0" justifyLastLine="0" shrinkToFit="0" readingOrder="0"/>
    </dxf>
    <dxf>
      <font>
        <color theme="0"/>
      </font>
      <fill>
        <patternFill patternType="solid">
          <fgColor indexed="64"/>
          <bgColor rgb="FF1B2A24"/>
        </patternFill>
      </fill>
      <alignment horizontal="general" vertical="bottom" textRotation="0" wrapText="0" indent="0" justifyLastLine="0" shrinkToFit="0" readingOrder="0"/>
    </dxf>
    <dxf>
      <font>
        <name val="Pike Bold"/>
      </font>
    </dxf>
    <dxf>
      <font>
        <name val="Pike Bold"/>
      </font>
    </dxf>
    <dxf>
      <font>
        <name val="Pike Bold"/>
      </font>
    </dxf>
    <dxf>
      <font>
        <name val="Pike Bold"/>
      </font>
    </dxf>
    <dxf>
      <font>
        <name val="Pike Bold"/>
      </font>
    </dxf>
    <dxf>
      <font>
        <name val="Pike Bold"/>
      </font>
    </dxf>
    <dxf>
      <alignment horizontal="center"/>
    </dxf>
    <dxf>
      <alignment horizontal="center"/>
    </dxf>
    <dxf>
      <alignment horizontal="left"/>
    </dxf>
    <dxf>
      <alignment horizontal="left"/>
    </dxf>
    <dxf>
      <font>
        <color theme="0"/>
      </font>
      <numFmt numFmtId="1" formatCode="0"/>
      <fill>
        <patternFill patternType="solid">
          <fgColor indexed="64"/>
          <bgColor rgb="FF1B2A24"/>
        </patternFill>
      </fill>
      <alignment horizontal="center"/>
    </dxf>
    <dxf>
      <font>
        <color theme="0"/>
      </font>
      <numFmt numFmtId="1" formatCode="0"/>
      <fill>
        <patternFill patternType="solid">
          <fgColor indexed="64"/>
          <bgColor rgb="FF1B2A24"/>
        </patternFill>
      </fill>
      <alignment horizontal="center"/>
    </dxf>
    <dxf>
      <font>
        <color theme="0"/>
      </font>
      <numFmt numFmtId="1" formatCode="0"/>
      <fill>
        <patternFill patternType="solid">
          <fgColor indexed="64"/>
          <bgColor rgb="FF1B2A24"/>
        </patternFill>
      </fill>
      <alignment horizontal="center"/>
    </dxf>
    <dxf>
      <font>
        <color theme="0"/>
      </font>
      <fill>
        <patternFill patternType="solid">
          <fgColor indexed="64"/>
          <bgColor rgb="FF1B2A24"/>
        </patternFill>
      </fill>
    </dxf>
    <dxf>
      <font>
        <color theme="0"/>
      </font>
      <fill>
        <patternFill patternType="solid">
          <fgColor indexed="64"/>
          <bgColor rgb="FF1B2A24"/>
        </patternFill>
      </fill>
    </dxf>
    <dxf>
      <alignment horizontal="center"/>
    </dxf>
    <dxf>
      <alignment horizontal="center"/>
    </dxf>
    <dxf>
      <alignment horizontal="center"/>
    </dxf>
    <dxf>
      <numFmt numFmtId="1" formatCode="0"/>
    </dxf>
    <dxf>
      <font>
        <color theme="0"/>
      </font>
      <fill>
        <patternFill patternType="solid">
          <fgColor indexed="64"/>
          <bgColor rgb="FF1B2A24"/>
        </patternFill>
      </fill>
      <alignment horizontal="general" vertical="bottom" textRotation="0" wrapText="0" indent="0" justifyLastLine="0" shrinkToFit="0" readingOrder="0"/>
    </dxf>
    <dxf>
      <font>
        <color theme="0"/>
      </font>
      <fill>
        <patternFill patternType="solid">
          <fgColor indexed="64"/>
          <bgColor rgb="FF1B2A24"/>
        </patternFill>
      </fill>
      <alignment horizontal="general" vertical="bottom" textRotation="0" wrapText="0" indent="0" justifyLastLine="0" shrinkToFit="0" readingOrder="0"/>
    </dxf>
    <dxf>
      <font>
        <color theme="0"/>
      </font>
      <fill>
        <patternFill patternType="solid">
          <fgColor indexed="64"/>
          <bgColor rgb="FF1B2A24"/>
        </patternFill>
      </fill>
    </dxf>
    <dxf>
      <font>
        <name val="Pike Bold"/>
      </font>
    </dxf>
    <dxf>
      <font>
        <name val="Pike Bold"/>
      </font>
    </dxf>
    <dxf>
      <font>
        <name val="Pike Bold"/>
      </font>
    </dxf>
    <dxf>
      <font>
        <name val="Pike Bold"/>
      </font>
    </dxf>
    <dxf>
      <numFmt numFmtId="1" formatCode="0"/>
    </dxf>
    <dxf>
      <numFmt numFmtId="1" formatCode="0"/>
    </dxf>
    <dxf>
      <alignment horizontal="center"/>
    </dxf>
    <dxf>
      <alignment horizontal="center"/>
    </dxf>
    <dxf>
      <font>
        <sz val="12"/>
      </font>
    </dxf>
    <dxf>
      <font>
        <sz val="12"/>
      </font>
    </dxf>
    <dxf>
      <font>
        <sz val="12"/>
      </font>
    </dxf>
    <dxf>
      <font>
        <sz val="12"/>
      </font>
    </dxf>
    <dxf>
      <font>
        <sz val="12"/>
      </font>
    </dxf>
    <dxf>
      <font>
        <color theme="0"/>
      </font>
    </dxf>
    <dxf>
      <font>
        <color theme="0"/>
      </font>
    </dxf>
    <dxf>
      <fill>
        <patternFill patternType="solid">
          <bgColor rgb="FF1B2A24"/>
        </patternFill>
      </fill>
    </dxf>
    <dxf>
      <fill>
        <patternFill patternType="solid">
          <bgColor rgb="FF1B2A24"/>
        </patternFill>
      </fill>
    </dxf>
    <dxf>
      <font>
        <name val="Pike Bold"/>
      </font>
    </dxf>
    <dxf>
      <font>
        <name val="Pike Bold"/>
      </font>
    </dxf>
    <dxf>
      <font>
        <name val="Pike Bold"/>
      </font>
    </dxf>
    <dxf>
      <font>
        <name val="Pike Bold"/>
      </font>
    </dxf>
    <dxf>
      <font>
        <name val="Pike Bold"/>
      </font>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font>
    </dxf>
    <dxf>
      <border outline="0">
        <bottom style="medium">
          <color rgb="FF000000"/>
        </bottom>
      </border>
    </dxf>
    <dxf>
      <border outline="0">
        <bottom style="medium">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numFmt numFmtId="1" formatCode="0"/>
    </dxf>
    <dxf>
      <numFmt numFmtId="164" formatCode="0.0"/>
    </dxf>
    <dxf>
      <fill>
        <patternFill>
          <bgColor theme="9" tint="0.79998168889431442"/>
        </patternFill>
      </fill>
    </dxf>
    <dxf>
      <alignment horizontal="center" vertical="bottom" textRotation="0" wrapText="0" indent="0" justifyLastLine="0" shrinkToFit="0" readingOrder="0"/>
    </dxf>
    <dxf>
      <numFmt numFmtId="1" formatCode="0"/>
      <alignment horizontal="left" vertical="bottom" textRotation="0" wrapText="0" indent="0" justifyLastLine="0" shrinkToFit="0" readingOrder="0"/>
    </dxf>
    <dxf>
      <numFmt numFmtId="164" formatCode="0.0"/>
      <alignment horizontal="center" vertical="bottom" textRotation="0" wrapText="0" indent="0" justifyLastLine="0" shrinkToFit="0" readingOrder="0"/>
    </dxf>
    <dxf>
      <numFmt numFmtId="164" formatCode="0.0"/>
      <alignment horizontal="center" vertical="bottom" textRotation="0" wrapText="0" indent="0" justifyLastLine="0" shrinkToFit="0" readingOrder="0"/>
    </dxf>
    <dxf>
      <fill>
        <patternFill patternType="none">
          <fgColor indexed="64"/>
          <bgColor indexed="65"/>
        </patternFill>
      </fill>
    </dxf>
    <dxf>
      <fill>
        <patternFill patternType="none">
          <fgColor indexed="64"/>
          <bgColor auto="1"/>
        </patternFill>
      </fill>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dxf>
    <dxf>
      <numFmt numFmtId="1" formatCode="0"/>
    </dxf>
    <dxf>
      <alignment horizontal="center" vertical="bottom" textRotation="0" wrapText="0" indent="0" justifyLastLine="0" shrinkToFit="0" readingOrder="0"/>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right" vertical="bottom" textRotation="0" wrapText="0" indent="0" justifyLastLine="0" shrinkToFit="0" readingOrder="0"/>
    </dxf>
    <dxf>
      <alignment horizontal="right"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1B2A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Calderon" refreshedDate="46148.783094444443" createdVersion="8" refreshedVersion="8" minRefreshableVersion="3" recordCount="254" xr:uid="{61A55808-FD8F-4264-B9B5-2FCA5B987C2D}">
  <cacheSource type="worksheet">
    <worksheetSource name="Table1"/>
  </cacheSource>
  <cacheFields count="21">
    <cacheField name="Week #" numFmtId="0">
      <sharedItems containsSemiMixedTypes="0" containsString="0" containsNumber="1" containsInteger="1" minValue="1" maxValue="53"/>
    </cacheField>
    <cacheField name="SBUX FY Week #" numFmtId="0">
      <sharedItems containsString="0" containsBlank="1" containsNumber="1" containsInteger="1" minValue="30" maxValue="52"/>
    </cacheField>
    <cacheField name="FY Week # Helper" numFmtId="0">
      <sharedItems containsNonDate="0" containsDate="1" containsString="0" containsBlank="1" minDate="2023-07-25T00:00:00" maxDate="2023-12-30T00:00:00"/>
    </cacheField>
    <cacheField name="Date" numFmtId="14">
      <sharedItems containsDate="1" containsMixedTypes="1" minDate="2023-04-24T00:00:00" maxDate="2026-05-05T00:00:00" count="224">
        <d v="2023-04-24T00:00:00"/>
        <d v="2023-04-27T00:00:00"/>
        <d v="2023-05-04T00:00:00"/>
        <d v="2023-05-06T00:00:00"/>
        <d v="2023-05-12T00:00:00"/>
        <d v="2023-05-15T00:00:00"/>
        <d v="2023-05-20T00:00:00"/>
        <d v="2023-05-23T00:00:00"/>
        <d v="2023-05-26T00:00:00"/>
        <d v="2023-05-31T00:00:00"/>
        <d v="2023-06-08T00:00:00"/>
        <d v="2023-06-12T00:00:00"/>
        <d v="2023-06-15T00:00:00"/>
        <d v="2023-06-20T00:00:00"/>
        <d v="2023-06-26T00:00:00"/>
        <d v="2023-07-02T00:00:00"/>
        <d v="2023-07-06T00:00:00"/>
        <d v="2023-07-13T00:00:00"/>
        <d v="2023-07-16T00:00:00"/>
        <d v="2023-07-20T00:00:00"/>
        <d v="2023-07-24T00:00:00"/>
        <d v="2023-07-27T00:00:00"/>
        <d v="2023-08-01T00:00:00"/>
        <d v="2023-08-03T00:00:00"/>
        <d v="2023-08-08T00:00:00"/>
        <d v="2023-08-11T00:00:00"/>
        <d v="2023-08-15T00:00:00"/>
        <d v="2023-08-19T00:00:00"/>
        <d v="2023-08-21T00:00:00"/>
        <d v="2023-08-24T00:00:00"/>
        <d v="2023-08-26T00:00:00"/>
        <d v="2023-08-28T00:00:00"/>
        <d v="2023-08-31T00:00:00"/>
        <d v="2023-09-03T00:00:00"/>
        <d v="2023-09-05T00:00:00"/>
        <d v="2023-09-07T00:00:00"/>
        <d v="2023-09-09T00:00:00"/>
        <d v="2023-09-11T00:00:00"/>
        <d v="2023-09-13T00:00:00"/>
        <d v="2023-09-15T00:00:00"/>
        <d v="2023-09-18T00:00:00"/>
        <d v="2023-09-20T00:00:00"/>
        <d v="2023-09-22T00:00:00"/>
        <d v="2023-09-24T00:00:00"/>
        <d v="2023-09-26T00:00:00"/>
        <d v="2023-09-28T00:00:00"/>
        <d v="2023-09-30T00:00:00"/>
        <d v="2023-10-02T00:00:00"/>
        <d v="2023-10-04T00:00:00"/>
        <d v="2023-10-06T00:00:00"/>
        <d v="2023-10-09T00:00:00"/>
        <d v="2023-10-11T00:00:00"/>
        <d v="2023-10-13T00:00:00"/>
        <d v="2023-10-15T00:00:00"/>
        <d v="2023-10-17T00:00:00"/>
        <d v="2023-10-19T00:00:00"/>
        <d v="2023-10-21T00:00:00"/>
        <d v="2023-10-24T00:00:00"/>
        <d v="2023-10-26T00:00:00"/>
        <d v="2023-10-29T00:00:00"/>
        <d v="2023-10-30T00:00:00"/>
        <d v="2023-11-01T00:00:00"/>
        <d v="2023-11-03T00:00:00"/>
        <d v="2023-11-06T00:00:00"/>
        <d v="2023-11-08T00:00:00"/>
        <d v="2023-11-10T00:00:00"/>
        <d v="2023-11-12T00:00:00"/>
        <d v="2023-11-20T00:00:00"/>
        <d v="2023-11-22T00:00:00"/>
        <d v="2023-11-26T00:00:00"/>
        <d v="2023-11-28T00:00:00"/>
        <d v="2023-11-30T00:00:00"/>
        <d v="2023-12-02T00:00:00"/>
        <d v="2023-12-04T00:00:00"/>
        <d v="2023-12-06T00:00:00"/>
        <d v="2023-12-08T00:00:00"/>
        <d v="2023-12-12T00:00:00"/>
        <d v="2023-12-16T00:00:00"/>
        <d v="2023-12-19T00:00:00"/>
        <d v="2023-12-23T00:00:00"/>
        <d v="2023-12-29T00:00:00"/>
        <d v="2024-01-02T00:00:00"/>
        <d v="2024-01-10T00:00:00"/>
        <d v="2024-01-12T00:00:00"/>
        <d v="2024-01-14T00:00:00"/>
        <d v="2024-01-17T00:00:00"/>
        <d v="2024-01-21T00:00:00"/>
        <d v="2024-01-23T00:00:00"/>
        <d v="2024-01-26T00:00:00"/>
        <d v="2024-01-28T00:00:00"/>
        <d v="2024-01-30T00:00:00"/>
        <d v="2024-02-01T00:00:00"/>
        <d v="2024-02-03T00:00:00"/>
        <d v="2024-02-05T00:00:00"/>
        <d v="2024-02-07T00:00:00"/>
        <d v="2024-02-09T00:00:00"/>
        <d v="2024-02-12T00:00:00"/>
        <d v="2024-02-14T00:00:00"/>
        <d v="2024-02-16T00:00:00"/>
        <d v="2024-02-18T00:00:00"/>
        <d v="2024-02-20T00:00:00"/>
        <d v="2024-02-22T00:00:00"/>
        <d v="2024-02-25T00:00:00"/>
        <d v="2024-02-27T00:00:00"/>
        <d v="2024-02-29T00:00:00"/>
        <d v="2024-03-04T00:00:00"/>
        <d v="2024-03-06T00:00:00"/>
        <d v="2024-03-11T00:00:00"/>
        <d v="2024-03-14T00:00:00"/>
        <d v="2024-03-17T00:00:00"/>
        <d v="2024-03-21T00:00:00"/>
        <d v="2024-03-25T00:00:00"/>
        <d v="2024-03-27T00:00:00"/>
        <d v="2024-03-30T00:00:00"/>
        <d v="2024-04-01T00:00:00"/>
        <d v="2024-04-04T00:00:00"/>
        <d v="2024-04-08T00:00:00"/>
        <d v="2024-04-11T00:00:00"/>
        <d v="2024-04-14T00:00:00"/>
        <d v="2024-04-16T00:00:00"/>
        <d v="2024-04-18T00:00:00"/>
        <d v="2024-04-21T00:00:00"/>
        <d v="2024-04-24T00:00:00"/>
        <d v="2024-04-29T00:00:00"/>
        <d v="2024-05-06T00:00:00"/>
        <d v="2024-05-15T00:00:00"/>
        <d v="2024-05-20T00:00:00"/>
        <d v="2024-05-22T00:00:00"/>
        <d v="2024-05-30T00:00:00"/>
        <d v="2024-06-02T00:00:00"/>
        <d v="2024-06-06T00:00:00"/>
        <d v="2024-06-12T00:00:00"/>
        <d v="2024-06-15T00:00:00"/>
        <d v="2024-06-18T00:00:00"/>
        <d v="2024-06-25T00:00:00"/>
        <d v="2024-06-30T00:00:00"/>
        <d v="2024-07-05T00:00:00"/>
        <d v="2024-07-17T00:00:00"/>
        <d v="2024-07-22T00:00:00"/>
        <d v="2024-07-26T00:00:00"/>
        <d v="2024-07-30T00:00:00"/>
        <d v="2024-08-02T00:00:00"/>
        <d v="2024-08-08T00:00:00"/>
        <d v="2024-08-13T00:00:00"/>
        <d v="2024-08-19T00:00:00"/>
        <d v="2024-08-26T00:00:00"/>
        <d v="2024-08-27T00:00:00"/>
        <d v="2024-08-30T00:00:00"/>
        <d v="2024-09-02T00:00:00"/>
        <d v="2024-09-04T00:00:00"/>
        <d v="2024-09-09T00:00:00"/>
        <d v="2024-11-12T00:00:00"/>
        <d v="2024-11-15T00:00:00"/>
        <d v="2024-11-17T00:00:00"/>
        <d v="2024-11-19T00:00:00"/>
        <d v="2024-11-22T00:00:00"/>
        <d v="2024-11-27T00:00:00"/>
        <d v="2024-11-30T00:00:00"/>
        <d v="2024-12-05T00:00:00"/>
        <d v="2024-12-08T00:00:00"/>
        <d v="2024-12-11T00:00:00"/>
        <d v="2024-12-16T00:00:00"/>
        <d v="2024-12-23T00:00:00"/>
        <d v="2024-12-26T00:00:00"/>
        <d v="2025-01-04T00:00:00"/>
        <d v="2025-01-08T00:00:00"/>
        <d v="2025-01-13T00:00:00"/>
        <d v="2025-01-20T00:00:00"/>
        <d v="2025-01-24T00:00:00"/>
        <d v="2025-01-29T00:00:00"/>
        <d v="2025-02-04T00:00:00"/>
        <d v="2025-02-07T00:00:00"/>
        <d v="2025-02-13T00:00:00"/>
        <d v="2025-02-18T00:00:00"/>
        <d v="2025-03-01T00:00:00"/>
        <d v="2025-03-07T00:00:00"/>
        <d v="2025-03-11T00:00:00"/>
        <d v="2025-03-20T00:00:00"/>
        <d v="2025-03-26T00:00:00"/>
        <d v="2025-04-02T00:00:00"/>
        <d v="2025-04-07T00:00:00"/>
        <d v="2025-04-11T00:00:00"/>
        <d v="2025-04-21T00:00:00"/>
        <d v="2025-04-29T00:00:00"/>
        <d v="2025-05-07T00:00:00"/>
        <d v="2025-05-14T00:00:00"/>
        <d v="2025-05-20T00:00:00"/>
        <d v="2025-05-27T00:00:00"/>
        <d v="2025-06-03T00:00:00"/>
        <d v="2025-06-10T00:00:00"/>
        <d v="2025-06-18T00:00:00"/>
        <d v="2025-06-25T00:00:00"/>
        <d v="2025-07-01T00:00:00"/>
        <d v="2025-11-24T00:00:00"/>
        <d v="2025-12-01T00:00:00"/>
        <d v="2025-12-08T00:00:00"/>
        <d v="2025-12-12T00:00:00"/>
        <d v="2025-12-15T00:00:00"/>
        <d v="2025-12-22T00:00:00"/>
        <d v="2025-12-27T00:00:00"/>
        <d v="2025-12-29T00:00:00"/>
        <d v="2026-01-05T00:00:00"/>
        <d v="2026-01-12T00:00:00"/>
        <d v="2026-01-19T00:00:00"/>
        <d v="2026-01-26T00:00:00"/>
        <s v="1/26/2026"/>
        <d v="2026-02-02T00:00:00"/>
        <d v="2026-02-04T00:00:00"/>
        <d v="2026-02-09T00:00:00"/>
        <d v="2026-02-16T00:00:00"/>
        <d v="2026-02-23T00:00:00"/>
        <d v="2026-02-28T00:00:00"/>
        <d v="2026-03-02T00:00:00"/>
        <d v="2026-03-09T00:00:00"/>
        <d v="2026-03-16T00:00:00"/>
        <d v="2026-03-22T00:00:00"/>
        <d v="2026-03-23T00:00:00"/>
        <d v="2026-03-30T00:00:00"/>
        <d v="2026-04-06T00:00:00"/>
        <d v="2026-04-13T00:00:00"/>
        <d v="2026-04-20T00:00:00"/>
        <d v="2026-04-27T00:00:00"/>
        <d v="2026-05-04T00:00:00"/>
        <d v="2025-06-17T00:00:00" u="1"/>
      </sharedItems>
    </cacheField>
    <cacheField name="Day of the week" numFmtId="14">
      <sharedItems containsBlank="1" count="8">
        <s v="Monday"/>
        <s v="Thursday"/>
        <s v="Saturday"/>
        <s v="Friday"/>
        <s v="Tuesday"/>
        <s v="Wednesday"/>
        <s v="Sunday"/>
        <m u="1"/>
      </sharedItems>
    </cacheField>
    <cacheField name="Store" numFmtId="0">
      <sharedItems/>
    </cacheField>
    <cacheField name="SCG mass lbs" numFmtId="0">
      <sharedItems containsSemiMixedTypes="0" containsString="0" containsNumber="1" minValue="54.92" maxValue="595.07999999999993"/>
    </cacheField>
    <cacheField name="Net lbs" numFmtId="2">
      <sharedItems containsSemiMixedTypes="0" containsString="0" containsNumber="1" minValue="46.92" maxValue="587.07999999999993"/>
    </cacheField>
    <cacheField name="# of Days between collections" numFmtId="0">
      <sharedItems containsString="0" containsBlank="1" containsNumber="1" containsInteger="1" minValue="1" maxValue="146"/>
    </cacheField>
    <cacheField name="Days Since 1st Collection" numFmtId="0">
      <sharedItems containsSemiMixedTypes="0" containsString="0" containsNumber="1" containsInteger="1" minValue="0" maxValue="1106"/>
    </cacheField>
    <cacheField name="Who initiated pickup?" numFmtId="0">
      <sharedItems/>
    </cacheField>
    <cacheField name="Per Day (lbs)" numFmtId="164">
      <sharedItems containsSemiMixedTypes="0" containsString="0" containsNumber="1" minValue="2.0057534246575344" maxValue="186"/>
    </cacheField>
    <cacheField name="Running Total" numFmtId="1">
      <sharedItems containsSemiMixedTypes="0" containsString="0" containsNumber="1" minValue="51.6" maxValue="58635.442500000005"/>
    </cacheField>
    <cacheField name="Master Gardener" numFmtId="0">
      <sharedItems containsSemiMixedTypes="0" containsString="0" containsNumber="1" minValue="0" maxValue="391.4"/>
    </cacheField>
    <cacheField name="MG Deposit Date" numFmtId="14">
      <sharedItems containsNonDate="0" containsDate="1" containsString="0" containsBlank="1" minDate="2024-03-25T00:00:00" maxDate="2026-05-07T00:00:00"/>
    </cacheField>
    <cacheField name="Cardboard (lbs)" numFmtId="0">
      <sharedItems containsSemiMixedTypes="0" containsString="0" containsNumber="1" minValue="0" maxValue="32.5"/>
    </cacheField>
    <cacheField name="Food Waste (lbs)" numFmtId="0">
      <sharedItems containsSemiMixedTypes="0" containsString="0" containsNumber="1" minValue="0" maxValue="135"/>
    </cacheField>
    <cacheField name="Route" numFmtId="0">
      <sharedItems containsBlank="1"/>
    </cacheField>
    <cacheField name="Miles Driven" numFmtId="164">
      <sharedItems containsSemiMixedTypes="0" containsString="0" containsNumber="1" minValue="1.9" maxValue="15"/>
    </cacheField>
    <cacheField name="Truck Odometer" numFmtId="0">
      <sharedItems containsString="0" containsBlank="1" containsNumber="1" containsInteger="1" minValue="49985" maxValue="50925"/>
    </cacheField>
    <cacheField name="Notes" numFmtId="1">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Calderon" refreshedDate="46148.783095023151" createdVersion="8" refreshedVersion="8" minRefreshableVersion="3" recordCount="255" xr:uid="{B37FD050-B0FC-45BA-9B87-23486634CAF0}">
  <cacheSource type="worksheet">
    <worksheetSource ref="A1:M1048576" sheet="Collection DB"/>
  </cacheSource>
  <cacheFields count="13">
    <cacheField name="Week #" numFmtId="0">
      <sharedItems containsString="0" containsBlank="1" containsNumber="1" containsInteger="1" minValue="1" maxValue="53" count="54">
        <n v="17"/>
        <n v="18"/>
        <n v="19"/>
        <n v="20"/>
        <n v="21"/>
        <n v="22"/>
        <n v="23"/>
        <n v="24"/>
        <n v="25"/>
        <n v="26"/>
        <n v="27"/>
        <n v="28"/>
        <n v="29"/>
        <n v="30"/>
        <n v="31"/>
        <n v="32"/>
        <n v="33"/>
        <n v="34"/>
        <n v="35"/>
        <n v="36"/>
        <n v="37"/>
        <n v="38"/>
        <n v="39"/>
        <n v="40"/>
        <n v="41"/>
        <n v="42"/>
        <n v="43"/>
        <n v="44"/>
        <n v="45"/>
        <n v="46"/>
        <n v="47"/>
        <n v="48"/>
        <n v="49"/>
        <n v="50"/>
        <n v="51"/>
        <n v="52"/>
        <n v="1"/>
        <n v="2"/>
        <n v="3"/>
        <n v="4"/>
        <n v="5"/>
        <n v="6"/>
        <n v="7"/>
        <n v="8"/>
        <n v="9"/>
        <n v="10"/>
        <n v="11"/>
        <n v="12"/>
        <n v="13"/>
        <n v="14"/>
        <n v="15"/>
        <n v="16"/>
        <n v="53"/>
        <m/>
      </sharedItems>
    </cacheField>
    <cacheField name="SBUX FY Week #" numFmtId="0">
      <sharedItems containsString="0" containsBlank="1" containsNumber="1" containsInteger="1" minValue="30" maxValue="52"/>
    </cacheField>
    <cacheField name="FY Week # Helper" numFmtId="0">
      <sharedItems containsNonDate="0" containsDate="1" containsString="0" containsBlank="1" minDate="2023-07-25T00:00:00" maxDate="2023-12-30T00:00:00"/>
    </cacheField>
    <cacheField name="Date" numFmtId="0">
      <sharedItems containsDate="1" containsBlank="1" containsMixedTypes="1" minDate="2023-04-24T00:00:00" maxDate="2026-05-05T00:00:00"/>
    </cacheField>
    <cacheField name="Day of the week" numFmtId="0">
      <sharedItems containsBlank="1"/>
    </cacheField>
    <cacheField name="Store" numFmtId="0">
      <sharedItems containsBlank="1"/>
    </cacheField>
    <cacheField name="SCG mass lbs" numFmtId="0">
      <sharedItems containsString="0" containsBlank="1" containsNumber="1" minValue="54.92" maxValue="595.07999999999993"/>
    </cacheField>
    <cacheField name="Net lbs" numFmtId="0">
      <sharedItems containsString="0" containsBlank="1" containsNumber="1" minValue="46.92" maxValue="587.07999999999993"/>
    </cacheField>
    <cacheField name="# of Days between collections" numFmtId="0">
      <sharedItems containsString="0" containsBlank="1" containsNumber="1" containsInteger="1" minValue="1" maxValue="146"/>
    </cacheField>
    <cacheField name="Days Since 1st Collection" numFmtId="0">
      <sharedItems containsString="0" containsBlank="1" containsNumber="1" containsInteger="1" minValue="0" maxValue="1106"/>
    </cacheField>
    <cacheField name="Who initiated pickup?" numFmtId="0">
      <sharedItems containsBlank="1"/>
    </cacheField>
    <cacheField name="Per Day (lbs)" numFmtId="0">
      <sharedItems containsString="0" containsBlank="1" containsNumber="1" minValue="2.0057534246575344" maxValue="186"/>
    </cacheField>
    <cacheField name="Running Total" numFmtId="1">
      <sharedItems containsString="0" containsBlank="1" containsNumber="1" minValue="51.6" maxValue="58635.44250000000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Calderon" refreshedDate="46148.783095254628" createdVersion="8" refreshedVersion="8" minRefreshableVersion="3" recordCount="255" xr:uid="{1B127392-2AB9-4129-988A-B5AE720174BB}">
  <cacheSource type="worksheet">
    <worksheetSource ref="A1:N1048576" sheet="Collection DB"/>
  </cacheSource>
  <cacheFields count="14">
    <cacheField name="Week #" numFmtId="0">
      <sharedItems containsString="0" containsBlank="1" containsNumber="1" containsInteger="1" minValue="1" maxValue="53"/>
    </cacheField>
    <cacheField name="SBUX FY Week #" numFmtId="0">
      <sharedItems containsString="0" containsBlank="1" containsNumber="1" containsInteger="1" minValue="30" maxValue="52"/>
    </cacheField>
    <cacheField name="FY Week # Helper" numFmtId="0">
      <sharedItems containsNonDate="0" containsDate="1" containsString="0" containsBlank="1" minDate="2023-07-25T00:00:00" maxDate="2023-12-30T00:00:00"/>
    </cacheField>
    <cacheField name="Date" numFmtId="0">
      <sharedItems containsDate="1" containsBlank="1" containsMixedTypes="1" minDate="2023-04-24T00:00:00" maxDate="2026-05-05T00:00:00" count="225">
        <d v="2023-04-24T00:00:00"/>
        <d v="2023-04-27T00:00:00"/>
        <d v="2023-05-04T00:00:00"/>
        <d v="2023-05-06T00:00:00"/>
        <d v="2023-05-12T00:00:00"/>
        <d v="2023-05-15T00:00:00"/>
        <d v="2023-05-20T00:00:00"/>
        <d v="2023-05-23T00:00:00"/>
        <d v="2023-05-26T00:00:00"/>
        <d v="2023-05-31T00:00:00"/>
        <d v="2023-06-08T00:00:00"/>
        <d v="2023-06-12T00:00:00"/>
        <d v="2023-06-15T00:00:00"/>
        <d v="2023-06-20T00:00:00"/>
        <d v="2023-06-26T00:00:00"/>
        <d v="2023-07-02T00:00:00"/>
        <d v="2023-07-06T00:00:00"/>
        <d v="2023-07-13T00:00:00"/>
        <d v="2023-07-16T00:00:00"/>
        <d v="2023-07-20T00:00:00"/>
        <d v="2023-07-24T00:00:00"/>
        <d v="2023-07-27T00:00:00"/>
        <d v="2023-08-01T00:00:00"/>
        <d v="2023-08-03T00:00:00"/>
        <d v="2023-08-08T00:00:00"/>
        <d v="2023-08-11T00:00:00"/>
        <d v="2023-08-15T00:00:00"/>
        <d v="2023-08-19T00:00:00"/>
        <d v="2023-08-21T00:00:00"/>
        <d v="2023-08-24T00:00:00"/>
        <d v="2023-08-26T00:00:00"/>
        <d v="2023-08-28T00:00:00"/>
        <d v="2023-08-31T00:00:00"/>
        <d v="2023-09-03T00:00:00"/>
        <d v="2023-09-05T00:00:00"/>
        <d v="2023-09-07T00:00:00"/>
        <d v="2023-09-09T00:00:00"/>
        <d v="2023-09-11T00:00:00"/>
        <d v="2023-09-13T00:00:00"/>
        <d v="2023-09-15T00:00:00"/>
        <d v="2023-09-18T00:00:00"/>
        <d v="2023-09-20T00:00:00"/>
        <d v="2023-09-22T00:00:00"/>
        <d v="2023-09-24T00:00:00"/>
        <d v="2023-09-26T00:00:00"/>
        <d v="2023-09-28T00:00:00"/>
        <d v="2023-09-30T00:00:00"/>
        <d v="2023-10-02T00:00:00"/>
        <d v="2023-10-04T00:00:00"/>
        <d v="2023-10-06T00:00:00"/>
        <d v="2023-10-09T00:00:00"/>
        <d v="2023-10-11T00:00:00"/>
        <d v="2023-10-13T00:00:00"/>
        <d v="2023-10-15T00:00:00"/>
        <d v="2023-10-17T00:00:00"/>
        <d v="2023-10-19T00:00:00"/>
        <d v="2023-10-21T00:00:00"/>
        <d v="2023-10-24T00:00:00"/>
        <d v="2023-10-26T00:00:00"/>
        <d v="2023-10-29T00:00:00"/>
        <d v="2023-10-30T00:00:00"/>
        <d v="2023-11-01T00:00:00"/>
        <d v="2023-11-03T00:00:00"/>
        <d v="2023-11-06T00:00:00"/>
        <d v="2023-11-08T00:00:00"/>
        <d v="2023-11-10T00:00:00"/>
        <d v="2023-11-12T00:00:00"/>
        <d v="2023-11-20T00:00:00"/>
        <d v="2023-11-22T00:00:00"/>
        <d v="2023-11-26T00:00:00"/>
        <d v="2023-11-28T00:00:00"/>
        <d v="2023-11-30T00:00:00"/>
        <d v="2023-12-02T00:00:00"/>
        <d v="2023-12-04T00:00:00"/>
        <d v="2023-12-06T00:00:00"/>
        <d v="2023-12-08T00:00:00"/>
        <d v="2023-12-12T00:00:00"/>
        <d v="2023-12-16T00:00:00"/>
        <d v="2023-12-19T00:00:00"/>
        <d v="2023-12-23T00:00:00"/>
        <d v="2023-12-29T00:00:00"/>
        <d v="2024-01-02T00:00:00"/>
        <d v="2024-01-10T00:00:00"/>
        <d v="2024-01-12T00:00:00"/>
        <d v="2024-01-14T00:00:00"/>
        <d v="2024-01-17T00:00:00"/>
        <d v="2024-01-21T00:00:00"/>
        <d v="2024-01-23T00:00:00"/>
        <d v="2024-01-26T00:00:00"/>
        <d v="2024-01-28T00:00:00"/>
        <d v="2024-01-30T00:00:00"/>
        <d v="2024-02-01T00:00:00"/>
        <d v="2024-02-03T00:00:00"/>
        <d v="2024-02-05T00:00:00"/>
        <d v="2024-02-07T00:00:00"/>
        <d v="2024-02-09T00:00:00"/>
        <d v="2024-02-12T00:00:00"/>
        <d v="2024-02-14T00:00:00"/>
        <d v="2024-02-16T00:00:00"/>
        <d v="2024-02-18T00:00:00"/>
        <d v="2024-02-20T00:00:00"/>
        <d v="2024-02-22T00:00:00"/>
        <d v="2024-02-25T00:00:00"/>
        <d v="2024-02-27T00:00:00"/>
        <d v="2024-02-29T00:00:00"/>
        <d v="2024-03-04T00:00:00"/>
        <d v="2024-03-06T00:00:00"/>
        <d v="2024-03-11T00:00:00"/>
        <d v="2024-03-14T00:00:00"/>
        <d v="2024-03-17T00:00:00"/>
        <d v="2024-03-21T00:00:00"/>
        <d v="2024-03-25T00:00:00"/>
        <d v="2024-03-27T00:00:00"/>
        <d v="2024-03-30T00:00:00"/>
        <d v="2024-04-01T00:00:00"/>
        <d v="2024-04-04T00:00:00"/>
        <d v="2024-04-08T00:00:00"/>
        <d v="2024-04-11T00:00:00"/>
        <d v="2024-04-14T00:00:00"/>
        <d v="2024-04-16T00:00:00"/>
        <d v="2024-04-18T00:00:00"/>
        <d v="2024-04-21T00:00:00"/>
        <d v="2024-04-24T00:00:00"/>
        <d v="2024-04-29T00:00:00"/>
        <d v="2024-05-06T00:00:00"/>
        <d v="2024-05-15T00:00:00"/>
        <d v="2024-05-20T00:00:00"/>
        <d v="2024-05-22T00:00:00"/>
        <d v="2024-05-30T00:00:00"/>
        <d v="2024-06-02T00:00:00"/>
        <d v="2024-06-06T00:00:00"/>
        <d v="2024-06-12T00:00:00"/>
        <d v="2024-06-15T00:00:00"/>
        <d v="2024-06-18T00:00:00"/>
        <d v="2024-06-25T00:00:00"/>
        <d v="2024-06-30T00:00:00"/>
        <d v="2024-07-05T00:00:00"/>
        <d v="2024-07-17T00:00:00"/>
        <d v="2024-07-22T00:00:00"/>
        <d v="2024-07-26T00:00:00"/>
        <d v="2024-07-30T00:00:00"/>
        <d v="2024-08-02T00:00:00"/>
        <d v="2024-08-08T00:00:00"/>
        <d v="2024-08-13T00:00:00"/>
        <d v="2024-08-19T00:00:00"/>
        <d v="2024-08-26T00:00:00"/>
        <d v="2024-08-27T00:00:00"/>
        <d v="2024-08-30T00:00:00"/>
        <d v="2024-09-02T00:00:00"/>
        <d v="2024-09-04T00:00:00"/>
        <d v="2024-09-09T00:00:00"/>
        <d v="2024-11-12T00:00:00"/>
        <d v="2024-11-15T00:00:00"/>
        <d v="2024-11-17T00:00:00"/>
        <d v="2024-11-19T00:00:00"/>
        <d v="2024-11-22T00:00:00"/>
        <d v="2024-11-27T00:00:00"/>
        <d v="2024-11-30T00:00:00"/>
        <d v="2024-12-05T00:00:00"/>
        <d v="2024-12-08T00:00:00"/>
        <d v="2024-12-11T00:00:00"/>
        <d v="2024-12-16T00:00:00"/>
        <d v="2024-12-23T00:00:00"/>
        <d v="2024-12-26T00:00:00"/>
        <d v="2025-01-04T00:00:00"/>
        <d v="2025-01-08T00:00:00"/>
        <d v="2025-01-13T00:00:00"/>
        <d v="2025-01-20T00:00:00"/>
        <d v="2025-01-24T00:00:00"/>
        <d v="2025-01-29T00:00:00"/>
        <d v="2025-02-04T00:00:00"/>
        <d v="2025-02-07T00:00:00"/>
        <d v="2025-02-13T00:00:00"/>
        <d v="2025-02-18T00:00:00"/>
        <d v="2025-03-01T00:00:00"/>
        <d v="2025-03-07T00:00:00"/>
        <d v="2025-03-11T00:00:00"/>
        <d v="2025-03-20T00:00:00"/>
        <d v="2025-03-26T00:00:00"/>
        <d v="2025-04-02T00:00:00"/>
        <d v="2025-04-07T00:00:00"/>
        <d v="2025-04-11T00:00:00"/>
        <d v="2025-04-21T00:00:00"/>
        <d v="2025-04-29T00:00:00"/>
        <d v="2025-05-07T00:00:00"/>
        <d v="2025-05-14T00:00:00"/>
        <d v="2025-05-20T00:00:00"/>
        <d v="2025-05-27T00:00:00"/>
        <d v="2025-06-03T00:00:00"/>
        <d v="2025-06-10T00:00:00"/>
        <d v="2025-06-18T00:00:00"/>
        <d v="2025-06-25T00:00:00"/>
        <d v="2025-07-01T00:00:00"/>
        <d v="2025-11-24T00:00:00"/>
        <d v="2025-12-01T00:00:00"/>
        <d v="2025-12-08T00:00:00"/>
        <d v="2025-12-12T00:00:00"/>
        <d v="2025-12-15T00:00:00"/>
        <d v="2025-12-22T00:00:00"/>
        <d v="2025-12-27T00:00:00"/>
        <d v="2025-12-29T00:00:00"/>
        <d v="2026-01-05T00:00:00"/>
        <d v="2026-01-12T00:00:00"/>
        <d v="2026-01-19T00:00:00"/>
        <d v="2026-01-26T00:00:00"/>
        <s v="1/26/2026"/>
        <d v="2026-02-02T00:00:00"/>
        <d v="2026-02-04T00:00:00"/>
        <d v="2026-02-09T00:00:00"/>
        <d v="2026-02-16T00:00:00"/>
        <d v="2026-02-23T00:00:00"/>
        <d v="2026-02-28T00:00:00"/>
        <d v="2026-03-02T00:00:00"/>
        <d v="2026-03-09T00:00:00"/>
        <d v="2026-03-16T00:00:00"/>
        <d v="2026-03-22T00:00:00"/>
        <d v="2026-03-23T00:00:00"/>
        <d v="2026-03-30T00:00:00"/>
        <d v="2026-04-06T00:00:00"/>
        <d v="2026-04-13T00:00:00"/>
        <d v="2026-04-20T00:00:00"/>
        <d v="2026-04-27T00:00:00"/>
        <d v="2026-05-04T00:00:00"/>
        <m/>
        <d v="2025-06-17T00:00:00" u="1"/>
      </sharedItems>
    </cacheField>
    <cacheField name="Day of the week" numFmtId="0">
      <sharedItems containsBlank="1"/>
    </cacheField>
    <cacheField name="Store" numFmtId="0">
      <sharedItems containsBlank="1"/>
    </cacheField>
    <cacheField name="SCG mass lbs" numFmtId="0">
      <sharedItems containsString="0" containsBlank="1" containsNumber="1" minValue="54.92" maxValue="595.07999999999993"/>
    </cacheField>
    <cacheField name="Net lbs" numFmtId="0">
      <sharedItems containsString="0" containsBlank="1" containsNumber="1" minValue="46.92" maxValue="587.07999999999993"/>
    </cacheField>
    <cacheField name="# of Days between collections" numFmtId="0">
      <sharedItems containsString="0" containsBlank="1" containsNumber="1" containsInteger="1" minValue="1" maxValue="146"/>
    </cacheField>
    <cacheField name="Days Since 1st Collection" numFmtId="0">
      <sharedItems containsString="0" containsBlank="1" containsNumber="1" containsInteger="1" minValue="0" maxValue="1106"/>
    </cacheField>
    <cacheField name="Who initiated pickup?" numFmtId="0">
      <sharedItems containsBlank="1"/>
    </cacheField>
    <cacheField name="Per Day (lbs)" numFmtId="0">
      <sharedItems containsString="0" containsBlank="1" containsNumber="1" minValue="2.0057534246575344" maxValue="186"/>
    </cacheField>
    <cacheField name="Running Total" numFmtId="1">
      <sharedItems containsString="0" containsBlank="1" containsNumber="1" minValue="51.6" maxValue="58635.442500000005"/>
    </cacheField>
    <cacheField name="Master Gardener" numFmtId="0">
      <sharedItems containsString="0" containsBlank="1" containsNumber="1" minValue="0" maxValue="391.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Calderon" refreshedDate="46148.78309571759" createdVersion="8" refreshedVersion="8" minRefreshableVersion="3" recordCount="254" xr:uid="{EC303A5E-57CB-4614-9B50-D32A07965BD0}">
  <cacheSource type="worksheet">
    <worksheetSource name="Table1[[Week '#]:[Running Total]]"/>
  </cacheSource>
  <cacheFields count="13">
    <cacheField name="Week #" numFmtId="0">
      <sharedItems containsSemiMixedTypes="0" containsString="0" containsNumber="1" containsInteger="1" minValue="1" maxValue="53" count="53">
        <n v="17"/>
        <n v="18"/>
        <n v="19"/>
        <n v="20"/>
        <n v="21"/>
        <n v="22"/>
        <n v="23"/>
        <n v="24"/>
        <n v="25"/>
        <n v="26"/>
        <n v="27"/>
        <n v="28"/>
        <n v="29"/>
        <n v="30"/>
        <n v="31"/>
        <n v="32"/>
        <n v="33"/>
        <n v="34"/>
        <n v="35"/>
        <n v="36"/>
        <n v="37"/>
        <n v="38"/>
        <n v="39"/>
        <n v="40"/>
        <n v="41"/>
        <n v="42"/>
        <n v="43"/>
        <n v="44"/>
        <n v="45"/>
        <n v="46"/>
        <n v="47"/>
        <n v="48"/>
        <n v="49"/>
        <n v="50"/>
        <n v="51"/>
        <n v="52"/>
        <n v="1"/>
        <n v="2"/>
        <n v="3"/>
        <n v="4"/>
        <n v="5"/>
        <n v="6"/>
        <n v="7"/>
        <n v="8"/>
        <n v="9"/>
        <n v="10"/>
        <n v="11"/>
        <n v="12"/>
        <n v="13"/>
        <n v="14"/>
        <n v="15"/>
        <n v="16"/>
        <n v="53"/>
      </sharedItems>
    </cacheField>
    <cacheField name="SBUX FY Week #" numFmtId="0">
      <sharedItems containsString="0" containsBlank="1" containsNumber="1" containsInteger="1" minValue="30" maxValue="52"/>
    </cacheField>
    <cacheField name="FY Week # Helper" numFmtId="0">
      <sharedItems containsNonDate="0" containsDate="1" containsString="0" containsBlank="1" minDate="2023-07-25T00:00:00" maxDate="2023-12-30T00:00:00"/>
    </cacheField>
    <cacheField name="Date" numFmtId="14">
      <sharedItems containsDate="1" containsMixedTypes="1" minDate="2023-04-24T00:00:00" maxDate="2026-05-05T00:00:00"/>
    </cacheField>
    <cacheField name="Day of the week" numFmtId="14">
      <sharedItems/>
    </cacheField>
    <cacheField name="Store" numFmtId="0">
      <sharedItems/>
    </cacheField>
    <cacheField name="SCG mass lbs" numFmtId="0">
      <sharedItems containsSemiMixedTypes="0" containsString="0" containsNumber="1" minValue="54.92" maxValue="595.07999999999993"/>
    </cacheField>
    <cacheField name="Net lbs" numFmtId="2">
      <sharedItems containsSemiMixedTypes="0" containsString="0" containsNumber="1" minValue="46.92" maxValue="587.07999999999993"/>
    </cacheField>
    <cacheField name="# of Days between collections" numFmtId="0">
      <sharedItems containsString="0" containsBlank="1" containsNumber="1" containsInteger="1" minValue="1" maxValue="146"/>
    </cacheField>
    <cacheField name="Days Since 1st Collection" numFmtId="0">
      <sharedItems containsSemiMixedTypes="0" containsString="0" containsNumber="1" containsInteger="1" minValue="0" maxValue="1106"/>
    </cacheField>
    <cacheField name="Who initiated pickup?" numFmtId="0">
      <sharedItems/>
    </cacheField>
    <cacheField name="Per Day (lbs)" numFmtId="164">
      <sharedItems containsSemiMixedTypes="0" containsString="0" containsNumber="1" minValue="2.0057534246575344" maxValue="186"/>
    </cacheField>
    <cacheField name="Running Total" numFmtId="1">
      <sharedItems containsSemiMixedTypes="0" containsString="0" containsNumber="1" minValue="51.6" maxValue="58635.442500000005"/>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ris Calderon" refreshedDate="46148.783095949075" createdVersion="8" refreshedVersion="8" minRefreshableVersion="3" recordCount="64" xr:uid="{07C80EEB-4ACC-40AC-A679-B4745EBA6192}">
  <cacheSource type="worksheet">
    <worksheetSource ref="A3:C67" sheet="Sheet1"/>
  </cacheSource>
  <cacheFields count="3">
    <cacheField name="Row Labels" numFmtId="0">
      <sharedItems containsBlank="1" containsMixedTypes="1" containsNumber="1" containsInteger="1" minValue="1" maxValue="53" count="57">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 v="Grand Total"/>
        <m/>
        <s v="2023" u="1"/>
        <s v="2024" u="1"/>
      </sharedItems>
    </cacheField>
    <cacheField name="Net lbs " numFmtId="0">
      <sharedItems containsString="0" containsBlank="1" containsNumber="1" minValue="146" maxValue="58635.442499999997"/>
    </cacheField>
    <cacheField name="Field3" caption="Field3"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n v="17"/>
    <n v="30"/>
    <d v="2023-07-25T00:00:00"/>
    <x v="0"/>
    <x v="0"/>
    <s v="100 East 10th Street"/>
    <n v="59.6"/>
    <n v="51.6"/>
    <m/>
    <n v="0"/>
    <s v="Scheduled"/>
    <n v="51.6"/>
    <n v="51.6"/>
    <n v="0"/>
    <m/>
    <n v="0"/>
    <n v="0"/>
    <s v="Home to 100 East 10th Street"/>
    <n v="11.4"/>
    <m/>
    <m/>
  </r>
  <r>
    <n v="17"/>
    <n v="30"/>
    <d v="2023-07-28T00:00:00"/>
    <x v="1"/>
    <x v="1"/>
    <s v="100 East 10th Street"/>
    <n v="97.1"/>
    <n v="89.1"/>
    <n v="3"/>
    <n v="3"/>
    <s v="Store"/>
    <n v="29.7"/>
    <n v="140.69999999999999"/>
    <n v="0"/>
    <m/>
    <n v="0"/>
    <n v="0"/>
    <s v="Trinity to 100 East 10th Street"/>
    <n v="13.5"/>
    <m/>
    <m/>
  </r>
  <r>
    <n v="18"/>
    <n v="31"/>
    <d v="2023-08-04T00:00:00"/>
    <x v="2"/>
    <x v="1"/>
    <s v="100 East 10th Street"/>
    <n v="141.30000000000001"/>
    <n v="133.30000000000001"/>
    <n v="7"/>
    <n v="10"/>
    <s v="Store"/>
    <n v="19.042857142857144"/>
    <n v="274"/>
    <n v="0"/>
    <m/>
    <n v="0"/>
    <n v="0"/>
    <s v="Trinity to 100 East 10th Street"/>
    <n v="13.5"/>
    <m/>
    <m/>
  </r>
  <r>
    <n v="18"/>
    <n v="32"/>
    <d v="2023-08-06T00:00:00"/>
    <x v="3"/>
    <x v="2"/>
    <s v="100 East 10th Street"/>
    <n v="70.599999999999994"/>
    <n v="62.599999999999994"/>
    <n v="2"/>
    <n v="12"/>
    <s v="Store"/>
    <n v="31.299999999999997"/>
    <n v="336.6"/>
    <n v="0"/>
    <m/>
    <n v="0"/>
    <n v="0"/>
    <s v="Home to 100 East 10th Street"/>
    <n v="11.4"/>
    <m/>
    <m/>
  </r>
  <r>
    <n v="19"/>
    <n v="32"/>
    <d v="2023-08-12T00:00:00"/>
    <x v="4"/>
    <x v="3"/>
    <s v="100 East 10th Street"/>
    <n v="136.4"/>
    <n v="128.4"/>
    <n v="6"/>
    <n v="18"/>
    <s v="Store"/>
    <n v="21.400000000000002"/>
    <n v="465"/>
    <n v="0"/>
    <m/>
    <n v="0"/>
    <n v="0"/>
    <s v="Trinity to 100 East 10th Street"/>
    <n v="13.5"/>
    <m/>
    <m/>
  </r>
  <r>
    <n v="20"/>
    <n v="33"/>
    <d v="2023-08-15T00:00:00"/>
    <x v="5"/>
    <x v="0"/>
    <s v="100 East 10th Street"/>
    <n v="79.5"/>
    <n v="71.5"/>
    <n v="3"/>
    <n v="21"/>
    <s v="Scheduled"/>
    <n v="23.833333333333332"/>
    <n v="536.5"/>
    <n v="0"/>
    <m/>
    <n v="0"/>
    <n v="0"/>
    <s v="Trinity to 100 East 10th Street"/>
    <n v="13.5"/>
    <m/>
    <m/>
  </r>
  <r>
    <n v="20"/>
    <n v="34"/>
    <d v="2023-08-20T00:00:00"/>
    <x v="6"/>
    <x v="2"/>
    <s v="100 East 10th Street"/>
    <n v="104.1"/>
    <n v="96.1"/>
    <n v="5"/>
    <n v="26"/>
    <s v="Store"/>
    <n v="19.22"/>
    <n v="632.6"/>
    <n v="0"/>
    <m/>
    <n v="0"/>
    <n v="0"/>
    <s v="Home to 100 East 10th Street"/>
    <n v="11.4"/>
    <m/>
    <m/>
  </r>
  <r>
    <n v="21"/>
    <n v="34"/>
    <d v="2023-08-23T00:00:00"/>
    <x v="7"/>
    <x v="4"/>
    <s v="100 East 10th Street"/>
    <n v="165.2"/>
    <n v="157.19999999999999"/>
    <n v="3"/>
    <n v="29"/>
    <s v="Store"/>
    <n v="52.4"/>
    <n v="789.8"/>
    <n v="0"/>
    <m/>
    <n v="0"/>
    <n v="0"/>
    <s v="Trinity to 100 East 10th Street"/>
    <n v="13.5"/>
    <m/>
    <m/>
  </r>
  <r>
    <n v="21"/>
    <n v="34"/>
    <d v="2023-08-26T00:00:00"/>
    <x v="8"/>
    <x v="3"/>
    <s v="100 East 10th Street"/>
    <n v="166.5"/>
    <n v="158.5"/>
    <n v="3"/>
    <n v="32"/>
    <s v="Store"/>
    <n v="52.833333333333336"/>
    <n v="948.3"/>
    <n v="0"/>
    <m/>
    <n v="0"/>
    <n v="0"/>
    <s v="Home to 100 East 10th Street"/>
    <n v="11.4"/>
    <m/>
    <m/>
  </r>
  <r>
    <n v="22"/>
    <n v="35"/>
    <d v="2023-08-31T00:00:00"/>
    <x v="9"/>
    <x v="5"/>
    <s v="100 East 10th Street"/>
    <n v="127.6"/>
    <n v="119.6"/>
    <n v="5"/>
    <n v="37"/>
    <s v="Store"/>
    <n v="23.919999999999998"/>
    <n v="1067.8999999999999"/>
    <n v="0"/>
    <m/>
    <n v="0"/>
    <n v="0"/>
    <s v="Home to 100 East 10th Street"/>
    <n v="11.4"/>
    <m/>
    <m/>
  </r>
  <r>
    <n v="23"/>
    <n v="36"/>
    <d v="2023-09-08T00:00:00"/>
    <x v="10"/>
    <x v="1"/>
    <s v="100 East 10th Street"/>
    <n v="160.80000000000001"/>
    <n v="152.80000000000001"/>
    <n v="8"/>
    <n v="45"/>
    <s v="Store"/>
    <n v="19.100000000000001"/>
    <n v="1220.6999999999998"/>
    <n v="0"/>
    <m/>
    <n v="0"/>
    <n v="0"/>
    <s v="Home to 100 East 10th Street"/>
    <n v="11.4"/>
    <m/>
    <m/>
  </r>
  <r>
    <n v="24"/>
    <n v="37"/>
    <d v="2023-09-12T00:00:00"/>
    <x v="11"/>
    <x v="0"/>
    <s v="100 East 10th Street"/>
    <n v="141.5"/>
    <n v="133.5"/>
    <n v="4"/>
    <n v="49"/>
    <s v="Store"/>
    <n v="33.375"/>
    <n v="1354.1999999999998"/>
    <n v="0"/>
    <m/>
    <n v="0"/>
    <n v="0"/>
    <s v="Home to 100 East 10th Street"/>
    <n v="11.4"/>
    <m/>
    <m/>
  </r>
  <r>
    <n v="24"/>
    <n v="37"/>
    <d v="2023-09-15T00:00:00"/>
    <x v="12"/>
    <x v="1"/>
    <s v="100 East 10th Street"/>
    <n v="134.5"/>
    <n v="126.5"/>
    <n v="3"/>
    <n v="52"/>
    <s v="Store"/>
    <n v="42.166666666666664"/>
    <n v="1480.6999999999998"/>
    <n v="0"/>
    <m/>
    <n v="0"/>
    <n v="0"/>
    <s v="Home to 100 East 10th Street"/>
    <n v="11.4"/>
    <m/>
    <m/>
  </r>
  <r>
    <n v="25"/>
    <n v="38"/>
    <d v="2023-09-20T00:00:00"/>
    <x v="13"/>
    <x v="4"/>
    <s v="100 East 10th Street"/>
    <n v="153.5"/>
    <n v="145.5"/>
    <n v="5"/>
    <n v="57"/>
    <s v="Store"/>
    <n v="29.1"/>
    <n v="1626.1999999999998"/>
    <n v="0"/>
    <m/>
    <n v="0"/>
    <n v="0"/>
    <s v="Home to 100 East 10th Street"/>
    <n v="11.4"/>
    <m/>
    <m/>
  </r>
  <r>
    <n v="26"/>
    <n v="39"/>
    <d v="2023-09-26T00:00:00"/>
    <x v="14"/>
    <x v="0"/>
    <s v="100 East 10th Street"/>
    <n v="148"/>
    <n v="140"/>
    <n v="6"/>
    <n v="63"/>
    <s v="Store"/>
    <n v="23.333333333333332"/>
    <n v="1766.1999999999998"/>
    <n v="0"/>
    <m/>
    <n v="0"/>
    <n v="0"/>
    <s v="Home to 100 East 10th Street"/>
    <n v="11.4"/>
    <m/>
    <m/>
  </r>
  <r>
    <n v="27"/>
    <n v="40"/>
    <d v="2023-10-02T00:00:00"/>
    <x v="15"/>
    <x v="6"/>
    <s v="100 East 10th Street"/>
    <n v="151"/>
    <n v="143"/>
    <n v="6"/>
    <n v="69"/>
    <s v="Store"/>
    <n v="23.833333333333332"/>
    <n v="1909.1999999999998"/>
    <n v="0"/>
    <m/>
    <n v="0"/>
    <n v="0"/>
    <s v="Home to 100 East 10th Street"/>
    <n v="11.4"/>
    <m/>
    <m/>
  </r>
  <r>
    <n v="27"/>
    <n v="40"/>
    <d v="2023-10-06T00:00:00"/>
    <x v="16"/>
    <x v="1"/>
    <s v="100 East 10th Street"/>
    <n v="177"/>
    <n v="169"/>
    <n v="4"/>
    <n v="73"/>
    <s v="Store"/>
    <n v="42.25"/>
    <n v="2078.1999999999998"/>
    <n v="0"/>
    <m/>
    <n v="0"/>
    <n v="0"/>
    <s v="Home to 100 East 10th Street"/>
    <n v="11.4"/>
    <m/>
    <m/>
  </r>
  <r>
    <n v="28"/>
    <n v="41"/>
    <d v="2023-10-13T00:00:00"/>
    <x v="17"/>
    <x v="1"/>
    <s v="100 East 10th Street"/>
    <n v="154"/>
    <n v="146"/>
    <n v="7"/>
    <n v="80"/>
    <s v="Store"/>
    <n v="20.857142857142858"/>
    <n v="2224.1999999999998"/>
    <n v="0"/>
    <m/>
    <n v="0"/>
    <n v="0"/>
    <s v="Home to 100 East 10th Street"/>
    <n v="11.4"/>
    <m/>
    <m/>
  </r>
  <r>
    <n v="29"/>
    <n v="42"/>
    <d v="2023-10-16T00:00:00"/>
    <x v="18"/>
    <x v="6"/>
    <s v="100 East 10th Street"/>
    <n v="146.5"/>
    <n v="138.5"/>
    <n v="3"/>
    <n v="83"/>
    <s v="Store"/>
    <n v="46.166666666666664"/>
    <n v="2362.6999999999998"/>
    <n v="0"/>
    <m/>
    <n v="0"/>
    <n v="0"/>
    <s v="Home to 100 East 10th Street"/>
    <n v="11.4"/>
    <m/>
    <m/>
  </r>
  <r>
    <n v="29"/>
    <n v="42"/>
    <d v="2023-10-20T00:00:00"/>
    <x v="19"/>
    <x v="1"/>
    <s v="100 East 10th Street"/>
    <n v="141"/>
    <n v="133"/>
    <n v="4"/>
    <n v="87"/>
    <s v="Store"/>
    <n v="33.25"/>
    <n v="2495.6999999999998"/>
    <n v="0"/>
    <m/>
    <n v="0"/>
    <n v="0"/>
    <s v="Home to 100 East 10th Street"/>
    <n v="11.4"/>
    <m/>
    <m/>
  </r>
  <r>
    <n v="30"/>
    <n v="43"/>
    <d v="2023-10-24T00:00:00"/>
    <x v="20"/>
    <x v="0"/>
    <s v="100 East 10th Street"/>
    <n v="149.5"/>
    <n v="141.5"/>
    <n v="4"/>
    <n v="91"/>
    <s v="Store"/>
    <n v="35.375"/>
    <n v="2637.2"/>
    <n v="0"/>
    <m/>
    <n v="0"/>
    <n v="0"/>
    <s v="Home to 100 East 10th Street"/>
    <n v="11.4"/>
    <m/>
    <m/>
  </r>
  <r>
    <n v="30"/>
    <n v="43"/>
    <d v="2023-10-27T00:00:00"/>
    <x v="21"/>
    <x v="1"/>
    <s v="100 East 10th Street"/>
    <n v="140"/>
    <n v="132"/>
    <n v="3"/>
    <n v="94"/>
    <s v="Store"/>
    <n v="44"/>
    <n v="2769.2"/>
    <n v="0"/>
    <m/>
    <n v="0"/>
    <n v="0"/>
    <s v="Home to 100 East 10th Street"/>
    <n v="11.4"/>
    <m/>
    <m/>
  </r>
  <r>
    <n v="31"/>
    <n v="44"/>
    <d v="2023-11-01T00:00:00"/>
    <x v="22"/>
    <x v="4"/>
    <s v="100 East 10th Street"/>
    <n v="183.5"/>
    <n v="175.5"/>
    <n v="5"/>
    <n v="99"/>
    <s v="Store"/>
    <n v="35.1"/>
    <n v="2944.7"/>
    <n v="0"/>
    <m/>
    <n v="0"/>
    <n v="0"/>
    <s v="Home to 100 East 10th Street"/>
    <n v="11.4"/>
    <m/>
    <m/>
  </r>
  <r>
    <n v="31"/>
    <n v="44"/>
    <d v="2023-11-03T00:00:00"/>
    <x v="23"/>
    <x v="1"/>
    <s v="100 East 10th Street"/>
    <n v="175"/>
    <n v="167"/>
    <n v="2"/>
    <n v="101"/>
    <s v="Store"/>
    <n v="83.5"/>
    <n v="3111.7"/>
    <n v="0"/>
    <m/>
    <n v="0"/>
    <n v="0"/>
    <s v="Home to 100 East 10th Street"/>
    <n v="11.4"/>
    <m/>
    <m/>
  </r>
  <r>
    <n v="32"/>
    <n v="45"/>
    <d v="2023-11-08T00:00:00"/>
    <x v="24"/>
    <x v="4"/>
    <s v="100 East 10th Street"/>
    <n v="151"/>
    <n v="143"/>
    <n v="5"/>
    <n v="106"/>
    <s v="Scheduled"/>
    <n v="28.6"/>
    <n v="3254.7"/>
    <n v="0"/>
    <m/>
    <n v="0"/>
    <n v="0"/>
    <s v="Home to 100 East 10th Street"/>
    <n v="11.4"/>
    <m/>
    <m/>
  </r>
  <r>
    <n v="32"/>
    <n v="45"/>
    <d v="2023-11-11T00:00:00"/>
    <x v="25"/>
    <x v="3"/>
    <s v="100 East 10th Street"/>
    <n v="130.5"/>
    <n v="122.5"/>
    <n v="3"/>
    <n v="109"/>
    <s v="Scheduled"/>
    <n v="40.833333333333336"/>
    <n v="3377.2"/>
    <n v="0"/>
    <m/>
    <n v="0"/>
    <n v="0"/>
    <s v="Trinity to 100 East 10th Street"/>
    <n v="13.5"/>
    <m/>
    <m/>
  </r>
  <r>
    <n v="33"/>
    <n v="46"/>
    <d v="2023-11-15T00:00:00"/>
    <x v="26"/>
    <x v="4"/>
    <s v="100 East 10th Street"/>
    <n v="148.5"/>
    <n v="140.5"/>
    <n v="4"/>
    <n v="113"/>
    <s v="Store"/>
    <n v="35.125"/>
    <n v="3517.7"/>
    <n v="0"/>
    <m/>
    <n v="0"/>
    <n v="0"/>
    <s v="Trinity to 100 East 10th Street"/>
    <n v="13.5"/>
    <m/>
    <m/>
  </r>
  <r>
    <n v="33"/>
    <n v="47"/>
    <d v="2023-11-19T00:00:00"/>
    <x v="27"/>
    <x v="2"/>
    <s v="100 East 10th Street"/>
    <n v="162.5"/>
    <n v="154.5"/>
    <n v="4"/>
    <n v="117"/>
    <s v="Scheduled"/>
    <n v="38.625"/>
    <n v="3672.2"/>
    <n v="0"/>
    <m/>
    <n v="0"/>
    <n v="0"/>
    <s v="Home to 100 East 10th Street"/>
    <n v="11.4"/>
    <m/>
    <m/>
  </r>
  <r>
    <n v="34"/>
    <n v="47"/>
    <d v="2023-11-21T00:00:00"/>
    <x v="28"/>
    <x v="0"/>
    <s v="100 East 10th Street"/>
    <n v="124"/>
    <n v="116"/>
    <n v="2"/>
    <n v="119"/>
    <s v="Scheduled"/>
    <n v="58"/>
    <n v="3788.2"/>
    <n v="0"/>
    <m/>
    <n v="0"/>
    <n v="0"/>
    <s v="Trinity to 100 East 10th Street"/>
    <n v="13.5"/>
    <m/>
    <m/>
  </r>
  <r>
    <n v="34"/>
    <n v="47"/>
    <d v="2023-11-24T00:00:00"/>
    <x v="29"/>
    <x v="1"/>
    <s v="100 East 10th Street"/>
    <n v="150"/>
    <n v="142"/>
    <n v="3"/>
    <n v="122"/>
    <s v="Store"/>
    <n v="47.333333333333336"/>
    <n v="3930.2"/>
    <n v="0"/>
    <m/>
    <n v="0"/>
    <n v="0"/>
    <s v="Trinity to 100 East 10th Street"/>
    <n v="13.5"/>
    <m/>
    <m/>
  </r>
  <r>
    <n v="34"/>
    <n v="48"/>
    <d v="2023-11-26T00:00:00"/>
    <x v="30"/>
    <x v="2"/>
    <s v="100 East 10th Street"/>
    <n v="180"/>
    <n v="172"/>
    <n v="2"/>
    <n v="124"/>
    <s v="Store"/>
    <n v="86"/>
    <n v="4102.2"/>
    <n v="0"/>
    <m/>
    <n v="0"/>
    <n v="0"/>
    <s v="Home to 100 East 10th Street"/>
    <n v="11.4"/>
    <m/>
    <m/>
  </r>
  <r>
    <n v="35"/>
    <n v="48"/>
    <d v="2023-11-28T00:00:00"/>
    <x v="31"/>
    <x v="0"/>
    <s v="100 East 10th Street"/>
    <n v="75"/>
    <n v="67"/>
    <n v="2"/>
    <n v="126"/>
    <s v="Scheduled"/>
    <n v="33.5"/>
    <n v="4169.2"/>
    <n v="0"/>
    <m/>
    <n v="0"/>
    <n v="0"/>
    <s v="Trinity to 100 East 10th Street"/>
    <n v="13.5"/>
    <m/>
    <m/>
  </r>
  <r>
    <n v="35"/>
    <n v="48"/>
    <d v="2023-12-01T00:00:00"/>
    <x v="32"/>
    <x v="1"/>
    <s v="100 East 10th Street"/>
    <n v="190"/>
    <n v="182"/>
    <n v="3"/>
    <n v="129"/>
    <s v="Store"/>
    <n v="60.666666666666664"/>
    <n v="4351.2"/>
    <n v="0"/>
    <m/>
    <n v="0"/>
    <n v="0"/>
    <s v="Trinity to 100 East 10th Street"/>
    <n v="13.5"/>
    <m/>
    <m/>
  </r>
  <r>
    <n v="36"/>
    <n v="49"/>
    <d v="2023-12-04T00:00:00"/>
    <x v="33"/>
    <x v="6"/>
    <s v="100 East 10th Street"/>
    <n v="170"/>
    <n v="162"/>
    <n v="3"/>
    <n v="132"/>
    <s v="Store"/>
    <n v="54"/>
    <n v="4513.2"/>
    <n v="0"/>
    <m/>
    <n v="0"/>
    <n v="0"/>
    <s v="Home to 100 East 10th Street"/>
    <n v="11.4"/>
    <m/>
    <m/>
  </r>
  <r>
    <n v="36"/>
    <n v="49"/>
    <d v="2023-12-06T00:00:00"/>
    <x v="34"/>
    <x v="4"/>
    <s v="100 East 10th Street"/>
    <n v="105.5"/>
    <n v="97.5"/>
    <n v="2"/>
    <n v="134"/>
    <s v="Scheduled"/>
    <n v="48.75"/>
    <n v="4610.7"/>
    <n v="0"/>
    <m/>
    <n v="21"/>
    <n v="0"/>
    <s v="Trinity to 100 East 10th Street"/>
    <n v="13.5"/>
    <m/>
    <m/>
  </r>
  <r>
    <n v="36"/>
    <n v="49"/>
    <d v="2023-12-08T00:00:00"/>
    <x v="35"/>
    <x v="1"/>
    <s v="100 East 10th Street"/>
    <n v="113.5"/>
    <n v="105.5"/>
    <n v="2"/>
    <n v="136"/>
    <s v="Scheduled"/>
    <n v="52.75"/>
    <n v="4716.2"/>
    <n v="0"/>
    <m/>
    <n v="10.5"/>
    <n v="0"/>
    <s v="Trinity to 100 East 10th Street"/>
    <n v="13.5"/>
    <m/>
    <m/>
  </r>
  <r>
    <n v="36"/>
    <n v="50"/>
    <d v="2023-12-10T00:00:00"/>
    <x v="36"/>
    <x v="2"/>
    <s v="100 East 10th Street"/>
    <n v="170.5"/>
    <n v="162.5"/>
    <n v="2"/>
    <n v="138"/>
    <s v="Scheduled"/>
    <n v="81.25"/>
    <n v="4878.7"/>
    <n v="0"/>
    <m/>
    <n v="9"/>
    <n v="0"/>
    <s v="Home to 100 East 10th Street"/>
    <n v="11.4"/>
    <m/>
    <m/>
  </r>
  <r>
    <n v="37"/>
    <n v="50"/>
    <d v="2023-12-12T00:00:00"/>
    <x v="37"/>
    <x v="0"/>
    <s v="100 East 10th Street"/>
    <n v="163"/>
    <n v="155"/>
    <n v="2"/>
    <n v="140"/>
    <s v="Scheduled"/>
    <n v="77.5"/>
    <n v="5033.7"/>
    <n v="0"/>
    <m/>
    <n v="7"/>
    <n v="0"/>
    <s v="Trinity to 100 East 10th Street"/>
    <n v="13.5"/>
    <m/>
    <m/>
  </r>
  <r>
    <n v="37"/>
    <n v="50"/>
    <d v="2023-12-14T00:00:00"/>
    <x v="38"/>
    <x v="5"/>
    <s v="100 East 10th Street"/>
    <n v="145.5"/>
    <n v="137.5"/>
    <n v="2"/>
    <n v="142"/>
    <s v="Scheduled"/>
    <n v="68.75"/>
    <n v="5171.2"/>
    <n v="0"/>
    <m/>
    <n v="19"/>
    <n v="6.5"/>
    <s v="Trinity to 100 East 10th Street"/>
    <n v="13.5"/>
    <m/>
    <m/>
  </r>
  <r>
    <n v="37"/>
    <n v="50"/>
    <d v="2023-12-16T00:00:00"/>
    <x v="39"/>
    <x v="3"/>
    <s v="100 East 10th Street"/>
    <n v="109.5"/>
    <n v="101.5"/>
    <n v="2"/>
    <n v="144"/>
    <s v="Scheduled"/>
    <n v="50.75"/>
    <n v="5272.7"/>
    <n v="0"/>
    <m/>
    <n v="23"/>
    <n v="0"/>
    <s v="Trinity to 100 East 10th Street"/>
    <n v="13.5"/>
    <m/>
    <m/>
  </r>
  <r>
    <n v="38"/>
    <n v="51"/>
    <d v="2023-12-19T00:00:00"/>
    <x v="40"/>
    <x v="0"/>
    <s v="100 East 10th Street"/>
    <n v="143"/>
    <n v="135"/>
    <n v="3"/>
    <n v="147"/>
    <s v="Scheduled"/>
    <n v="45"/>
    <n v="5407.7"/>
    <n v="0"/>
    <m/>
    <n v="0"/>
    <n v="0"/>
    <s v="Trinity to 100 East 10th Street"/>
    <n v="13.5"/>
    <m/>
    <m/>
  </r>
  <r>
    <n v="38"/>
    <n v="51"/>
    <d v="2023-12-21T00:00:00"/>
    <x v="41"/>
    <x v="5"/>
    <s v="100 East 10th Street"/>
    <n v="143"/>
    <n v="135"/>
    <n v="2"/>
    <n v="149"/>
    <s v="Scheduled"/>
    <n v="67.5"/>
    <n v="5542.7"/>
    <n v="0"/>
    <m/>
    <n v="5"/>
    <n v="0"/>
    <s v="Trinity to 100 East 10th Street"/>
    <n v="13.5"/>
    <m/>
    <m/>
  </r>
  <r>
    <n v="38"/>
    <n v="51"/>
    <d v="2023-12-23T00:00:00"/>
    <x v="42"/>
    <x v="3"/>
    <s v="100 East 10th Street"/>
    <n v="166"/>
    <n v="158"/>
    <n v="2"/>
    <n v="151"/>
    <s v="Scheduled"/>
    <n v="79"/>
    <n v="5700.7"/>
    <n v="0"/>
    <m/>
    <n v="5"/>
    <n v="0"/>
    <s v="Trinity to 100 East 10th Street"/>
    <n v="13.5"/>
    <m/>
    <m/>
  </r>
  <r>
    <n v="39"/>
    <n v="52"/>
    <d v="2023-12-25T00:00:00"/>
    <x v="43"/>
    <x v="6"/>
    <s v="100 East 10th Street"/>
    <n v="206"/>
    <n v="198"/>
    <n v="2"/>
    <n v="153"/>
    <s v="Store"/>
    <n v="99"/>
    <n v="5898.7"/>
    <n v="0"/>
    <m/>
    <n v="5"/>
    <n v="0"/>
    <s v="Home to 100 East 10th Street"/>
    <n v="11.4"/>
    <m/>
    <m/>
  </r>
  <r>
    <n v="39"/>
    <n v="52"/>
    <d v="2023-12-27T00:00:00"/>
    <x v="44"/>
    <x v="4"/>
    <s v="100 East 10th Street"/>
    <n v="90.5"/>
    <n v="82.5"/>
    <n v="2"/>
    <n v="155"/>
    <s v="Scheduled"/>
    <n v="41.25"/>
    <n v="5981.2"/>
    <n v="0"/>
    <m/>
    <n v="1.5"/>
    <n v="0"/>
    <s v="Trinity to 100 East 10th Street"/>
    <n v="13.5"/>
    <m/>
    <m/>
  </r>
  <r>
    <n v="39"/>
    <n v="52"/>
    <d v="2023-12-29T00:00:00"/>
    <x v="45"/>
    <x v="1"/>
    <s v="100 East 10th Street"/>
    <n v="200"/>
    <n v="192"/>
    <n v="2"/>
    <n v="157"/>
    <s v="Store"/>
    <n v="96"/>
    <n v="6173.2"/>
    <n v="0"/>
    <m/>
    <n v="5"/>
    <n v="0"/>
    <s v="Trinity to 100 East 10th Street"/>
    <n v="13.5"/>
    <m/>
    <m/>
  </r>
  <r>
    <n v="39"/>
    <m/>
    <m/>
    <x v="46"/>
    <x v="2"/>
    <s v="100 East 10th Street"/>
    <n v="195"/>
    <n v="187"/>
    <n v="2"/>
    <n v="159"/>
    <s v="Scheduled"/>
    <n v="93.5"/>
    <n v="6360.2"/>
    <n v="0"/>
    <m/>
    <n v="2"/>
    <n v="0"/>
    <s v="Home to 100 East 10th Street"/>
    <n v="11.4"/>
    <m/>
    <m/>
  </r>
  <r>
    <n v="40"/>
    <m/>
    <m/>
    <x v="47"/>
    <x v="0"/>
    <s v="100 East 10th Street"/>
    <n v="81.5"/>
    <n v="73.5"/>
    <n v="2"/>
    <n v="161"/>
    <s v="Scheduled"/>
    <n v="36.75"/>
    <n v="6433.7"/>
    <n v="0"/>
    <m/>
    <n v="8"/>
    <n v="0"/>
    <s v="Trinity to 100 East 10th Street"/>
    <n v="13.5"/>
    <m/>
    <m/>
  </r>
  <r>
    <n v="40"/>
    <m/>
    <m/>
    <x v="48"/>
    <x v="5"/>
    <s v="100 East 10th Street"/>
    <n v="127"/>
    <n v="119"/>
    <n v="2"/>
    <n v="163"/>
    <s v="Scheduled"/>
    <n v="59.5"/>
    <n v="6552.7"/>
    <n v="0"/>
    <m/>
    <n v="8"/>
    <n v="0"/>
    <s v="Trinity to 100 East 10th Street"/>
    <n v="13.5"/>
    <m/>
    <m/>
  </r>
  <r>
    <n v="40"/>
    <m/>
    <m/>
    <x v="49"/>
    <x v="3"/>
    <s v="100 East 10th Street"/>
    <n v="190"/>
    <n v="182"/>
    <n v="2"/>
    <n v="165"/>
    <s v="Scheduled"/>
    <n v="91"/>
    <n v="6734.7"/>
    <n v="0"/>
    <m/>
    <n v="8"/>
    <n v="0"/>
    <s v="Trinity to 100 East 10th Street"/>
    <n v="13.5"/>
    <m/>
    <m/>
  </r>
  <r>
    <n v="41"/>
    <m/>
    <m/>
    <x v="50"/>
    <x v="0"/>
    <s v="100 East 10th Street"/>
    <n v="120"/>
    <n v="112"/>
    <n v="3"/>
    <n v="168"/>
    <s v="Scheduled"/>
    <n v="37.333333333333336"/>
    <n v="6846.7"/>
    <n v="0"/>
    <m/>
    <n v="8"/>
    <n v="0"/>
    <s v="Trinity to 100 East 10th Street"/>
    <n v="13.5"/>
    <m/>
    <m/>
  </r>
  <r>
    <n v="41"/>
    <m/>
    <m/>
    <x v="51"/>
    <x v="5"/>
    <s v="100 East 10th Street"/>
    <n v="146.5"/>
    <n v="138.5"/>
    <n v="2"/>
    <n v="170"/>
    <s v="Scheduled"/>
    <n v="69.25"/>
    <n v="6985.2"/>
    <n v="0"/>
    <m/>
    <n v="13.5"/>
    <n v="7.8"/>
    <s v="Trinity to 100 East 10th Street"/>
    <n v="13.5"/>
    <m/>
    <m/>
  </r>
  <r>
    <n v="41"/>
    <m/>
    <m/>
    <x v="52"/>
    <x v="3"/>
    <s v="100 East 10th Street"/>
    <n v="155.5"/>
    <n v="147.5"/>
    <n v="2"/>
    <n v="172"/>
    <s v="Scheduled"/>
    <n v="73.75"/>
    <n v="7132.7"/>
    <n v="0"/>
    <m/>
    <n v="15"/>
    <n v="10.5"/>
    <s v="Trinity to 100 East 10th Street"/>
    <n v="13.5"/>
    <m/>
    <m/>
  </r>
  <r>
    <n v="42"/>
    <m/>
    <m/>
    <x v="53"/>
    <x v="6"/>
    <s v="100 East 10th Street"/>
    <n v="175"/>
    <n v="167"/>
    <n v="2"/>
    <n v="174"/>
    <s v="Scheduled"/>
    <n v="83.5"/>
    <n v="7299.7"/>
    <n v="0"/>
    <m/>
    <n v="10"/>
    <n v="10"/>
    <s v="Home to 100 East 10th Street"/>
    <n v="11.4"/>
    <m/>
    <m/>
  </r>
  <r>
    <n v="42"/>
    <m/>
    <m/>
    <x v="54"/>
    <x v="4"/>
    <s v="100 East 10th Street"/>
    <n v="66"/>
    <n v="58"/>
    <n v="2"/>
    <n v="176"/>
    <s v="Scheduled"/>
    <n v="29"/>
    <n v="7357.7"/>
    <n v="0"/>
    <m/>
    <n v="10"/>
    <n v="0"/>
    <s v="Trinity to 100 East 10th Street"/>
    <n v="13.5"/>
    <m/>
    <m/>
  </r>
  <r>
    <n v="42"/>
    <m/>
    <m/>
    <x v="55"/>
    <x v="1"/>
    <s v="100 East 10th Street"/>
    <n v="104"/>
    <n v="96"/>
    <n v="2"/>
    <n v="178"/>
    <s v="Scheduled"/>
    <n v="48"/>
    <n v="7453.7"/>
    <n v="0"/>
    <m/>
    <n v="20"/>
    <n v="8"/>
    <s v="Trinity to 100 East 10th Street"/>
    <n v="13.5"/>
    <m/>
    <m/>
  </r>
  <r>
    <n v="42"/>
    <m/>
    <m/>
    <x v="56"/>
    <x v="2"/>
    <s v="100 East 10th Street"/>
    <n v="203"/>
    <n v="195"/>
    <n v="2"/>
    <n v="180"/>
    <s v="Store"/>
    <n v="97.5"/>
    <n v="7648.7"/>
    <n v="0"/>
    <m/>
    <n v="8"/>
    <n v="5.5"/>
    <s v="Home to 100 East 10th Street"/>
    <n v="11.4"/>
    <m/>
    <m/>
  </r>
  <r>
    <n v="43"/>
    <m/>
    <m/>
    <x v="57"/>
    <x v="4"/>
    <s v="100 East 10th Street"/>
    <n v="215.5"/>
    <n v="207.5"/>
    <n v="3"/>
    <n v="183"/>
    <s v="Scheduled"/>
    <n v="69.166666666666671"/>
    <n v="7856.2"/>
    <n v="0"/>
    <m/>
    <n v="3.5"/>
    <n v="3.5"/>
    <s v="Trinity to 100 East 10th Street"/>
    <n v="13.5"/>
    <m/>
    <m/>
  </r>
  <r>
    <n v="43"/>
    <m/>
    <m/>
    <x v="58"/>
    <x v="1"/>
    <s v="100 East 10th Street"/>
    <n v="98"/>
    <n v="90"/>
    <n v="2"/>
    <n v="185"/>
    <s v="Scheduled"/>
    <n v="45"/>
    <n v="7946.2"/>
    <n v="0"/>
    <m/>
    <n v="18"/>
    <n v="23"/>
    <s v="Trinity to 100 East 10th Street"/>
    <n v="13.5"/>
    <m/>
    <m/>
  </r>
  <r>
    <n v="44"/>
    <m/>
    <m/>
    <x v="59"/>
    <x v="6"/>
    <s v="100 East 10th Street"/>
    <n v="108"/>
    <n v="100"/>
    <n v="3"/>
    <n v="188"/>
    <s v="Scheduled"/>
    <n v="33.333333333333336"/>
    <n v="8046.2"/>
    <n v="0"/>
    <m/>
    <n v="0"/>
    <n v="0"/>
    <s v="Home to 100 East 10th Street"/>
    <n v="11.4"/>
    <m/>
    <m/>
  </r>
  <r>
    <n v="44"/>
    <m/>
    <m/>
    <x v="60"/>
    <x v="0"/>
    <s v="100 East 10th Street"/>
    <n v="194"/>
    <n v="186"/>
    <n v="1"/>
    <n v="189"/>
    <s v="Scheduled"/>
    <n v="186"/>
    <n v="8232.2000000000007"/>
    <n v="0"/>
    <m/>
    <n v="15"/>
    <n v="0"/>
    <s v="Trinity to 100 East 10th Street"/>
    <n v="13.5"/>
    <m/>
    <m/>
  </r>
  <r>
    <n v="44"/>
    <m/>
    <m/>
    <x v="61"/>
    <x v="5"/>
    <s v="100 East 10th Street"/>
    <n v="153.5"/>
    <n v="145.5"/>
    <n v="2"/>
    <n v="191"/>
    <s v="Scheduled"/>
    <n v="72.75"/>
    <n v="8377.7000000000007"/>
    <n v="0"/>
    <m/>
    <n v="0"/>
    <n v="0"/>
    <s v="Trinity to 100 East 10th Street"/>
    <n v="13.5"/>
    <m/>
    <m/>
  </r>
  <r>
    <n v="44"/>
    <m/>
    <m/>
    <x v="62"/>
    <x v="3"/>
    <s v="100 East 10th Street"/>
    <n v="181"/>
    <n v="173"/>
    <n v="2"/>
    <n v="193"/>
    <s v="Scheduled"/>
    <n v="86.5"/>
    <n v="8550.7000000000007"/>
    <n v="0"/>
    <m/>
    <n v="4"/>
    <n v="19"/>
    <s v="Trinity to 100 East 10th Street"/>
    <n v="13.5"/>
    <m/>
    <m/>
  </r>
  <r>
    <n v="45"/>
    <m/>
    <m/>
    <x v="63"/>
    <x v="0"/>
    <s v="100 East 10th Street"/>
    <n v="171"/>
    <n v="163"/>
    <n v="3"/>
    <n v="196"/>
    <s v="Scheduled"/>
    <n v="54.333333333333336"/>
    <n v="8713.7000000000007"/>
    <n v="0"/>
    <m/>
    <n v="5"/>
    <n v="10.5"/>
    <s v="Trinity to 100 East 10th Street"/>
    <n v="13.5"/>
    <m/>
    <m/>
  </r>
  <r>
    <n v="45"/>
    <m/>
    <m/>
    <x v="64"/>
    <x v="5"/>
    <s v="100 East 10th Street"/>
    <n v="141.5"/>
    <n v="133.5"/>
    <n v="2"/>
    <n v="198"/>
    <s v="Scheduled"/>
    <n v="66.75"/>
    <n v="8847.2000000000007"/>
    <n v="0"/>
    <m/>
    <n v="0"/>
    <n v="0"/>
    <s v="Trinity to 100 East 10th Street"/>
    <n v="13.5"/>
    <m/>
    <m/>
  </r>
  <r>
    <n v="45"/>
    <m/>
    <m/>
    <x v="65"/>
    <x v="3"/>
    <s v="100 East 10th Street"/>
    <n v="152"/>
    <n v="144"/>
    <n v="2"/>
    <n v="200"/>
    <s v="Scheduled"/>
    <n v="72"/>
    <n v="8991.2000000000007"/>
    <n v="0"/>
    <m/>
    <n v="17.5"/>
    <n v="13"/>
    <s v="Trinity to 100 East 10th Street"/>
    <n v="13.5"/>
    <m/>
    <m/>
  </r>
  <r>
    <n v="46"/>
    <m/>
    <m/>
    <x v="66"/>
    <x v="6"/>
    <s v="100 East 10th Street"/>
    <n v="75"/>
    <n v="67"/>
    <n v="2"/>
    <n v="202"/>
    <s v="Scheduled"/>
    <n v="33.5"/>
    <n v="9058.2000000000007"/>
    <n v="0"/>
    <m/>
    <n v="1.5"/>
    <n v="52.5"/>
    <s v="Home to 100 East 10th Street"/>
    <n v="11.4"/>
    <m/>
    <m/>
  </r>
  <r>
    <n v="47"/>
    <m/>
    <m/>
    <x v="67"/>
    <x v="0"/>
    <s v="100 East 10th Street"/>
    <n v="578"/>
    <n v="570"/>
    <n v="8"/>
    <n v="210"/>
    <s v="Scheduled"/>
    <n v="71.25"/>
    <n v="9628.2000000000007"/>
    <n v="0"/>
    <m/>
    <n v="32.5"/>
    <n v="0"/>
    <s v="Home to 100 East 10th Street"/>
    <n v="11.4"/>
    <m/>
    <m/>
  </r>
  <r>
    <n v="47"/>
    <m/>
    <m/>
    <x v="68"/>
    <x v="5"/>
    <s v="100 East 10th Street"/>
    <n v="160"/>
    <n v="152"/>
    <n v="2"/>
    <n v="212"/>
    <s v="Scheduled"/>
    <n v="76"/>
    <n v="9780.2000000000007"/>
    <n v="0"/>
    <m/>
    <n v="10"/>
    <n v="3"/>
    <s v="Home to 100 East 10th Street"/>
    <n v="11.4"/>
    <m/>
    <m/>
  </r>
  <r>
    <n v="48"/>
    <m/>
    <m/>
    <x v="69"/>
    <x v="6"/>
    <s v="100 East 10th Street"/>
    <n v="157"/>
    <n v="149"/>
    <n v="4"/>
    <n v="216"/>
    <s v="Scheduled"/>
    <n v="37.25"/>
    <n v="9929.2000000000007"/>
    <n v="0"/>
    <m/>
    <n v="2"/>
    <n v="78"/>
    <s v="Home to 100 East 10th Street"/>
    <n v="11.4"/>
    <m/>
    <m/>
  </r>
  <r>
    <n v="48"/>
    <m/>
    <m/>
    <x v="70"/>
    <x v="4"/>
    <s v="100 East 10th Street"/>
    <n v="107.5"/>
    <n v="99.5"/>
    <n v="2"/>
    <n v="218"/>
    <s v="Scheduled"/>
    <n v="49.75"/>
    <n v="10028.700000000001"/>
    <n v="0"/>
    <m/>
    <n v="27"/>
    <n v="32"/>
    <s v="Home to 100 East 10th Street"/>
    <n v="11.4"/>
    <m/>
    <m/>
  </r>
  <r>
    <n v="48"/>
    <m/>
    <m/>
    <x v="71"/>
    <x v="1"/>
    <s v="100 East 10th Street"/>
    <n v="149"/>
    <n v="141"/>
    <n v="2"/>
    <n v="220"/>
    <s v="Scheduled"/>
    <n v="70.5"/>
    <n v="10169.700000000001"/>
    <n v="0"/>
    <m/>
    <n v="20"/>
    <n v="10"/>
    <s v="Home to 100 East 10th Street"/>
    <n v="11.4"/>
    <m/>
    <m/>
  </r>
  <r>
    <n v="48"/>
    <m/>
    <m/>
    <x v="72"/>
    <x v="2"/>
    <s v="100 East 10th Street"/>
    <n v="142.5"/>
    <n v="134.5"/>
    <n v="2"/>
    <n v="222"/>
    <s v="Scheduled"/>
    <n v="67.25"/>
    <n v="10304.200000000001"/>
    <n v="0"/>
    <m/>
    <n v="20"/>
    <n v="10"/>
    <s v="Home to 100 East 10th Street"/>
    <n v="11.4"/>
    <m/>
    <m/>
  </r>
  <r>
    <n v="49"/>
    <m/>
    <m/>
    <x v="73"/>
    <x v="0"/>
    <s v="100 East 10th Street"/>
    <n v="119.5"/>
    <n v="111.5"/>
    <n v="2"/>
    <n v="224"/>
    <s v="Scheduled"/>
    <n v="55.75"/>
    <n v="10415.700000000001"/>
    <n v="0"/>
    <m/>
    <n v="19.5"/>
    <n v="7"/>
    <s v="Trinity to 100 East 10th Street"/>
    <n v="13.5"/>
    <m/>
    <m/>
  </r>
  <r>
    <n v="49"/>
    <m/>
    <m/>
    <x v="74"/>
    <x v="5"/>
    <s v="100 East 10th Street"/>
    <n v="106"/>
    <n v="98"/>
    <n v="2"/>
    <n v="226"/>
    <s v="Scheduled"/>
    <n v="49"/>
    <n v="10513.7"/>
    <n v="0"/>
    <m/>
    <n v="21.5"/>
    <n v="2"/>
    <s v="Trinity to 100 East 10th Street"/>
    <n v="13.5"/>
    <m/>
    <m/>
  </r>
  <r>
    <n v="49"/>
    <m/>
    <m/>
    <x v="75"/>
    <x v="3"/>
    <s v="100 East 10th Street"/>
    <n v="168"/>
    <n v="160"/>
    <n v="2"/>
    <n v="228"/>
    <s v="Scheduled"/>
    <n v="80"/>
    <n v="10673.7"/>
    <n v="0"/>
    <m/>
    <n v="28"/>
    <n v="2"/>
    <s v="Trinity to 100 East 10th Street"/>
    <n v="13.5"/>
    <m/>
    <m/>
  </r>
  <r>
    <n v="50"/>
    <m/>
    <m/>
    <x v="76"/>
    <x v="4"/>
    <s v="100 East 10th Street"/>
    <n v="259.5"/>
    <n v="251.5"/>
    <n v="4"/>
    <n v="232"/>
    <s v="Scheduled"/>
    <n v="62.875"/>
    <n v="10925.2"/>
    <n v="0"/>
    <m/>
    <n v="14"/>
    <n v="0"/>
    <s v="Trinity to 100 East 10th Street"/>
    <n v="13.5"/>
    <m/>
    <m/>
  </r>
  <r>
    <n v="50"/>
    <m/>
    <m/>
    <x v="77"/>
    <x v="2"/>
    <s v="100 East 10th Street"/>
    <n v="303.5"/>
    <n v="295.5"/>
    <n v="4"/>
    <n v="236"/>
    <s v="Scheduled"/>
    <n v="73.875"/>
    <n v="11220.7"/>
    <n v="0"/>
    <m/>
    <n v="0"/>
    <n v="0"/>
    <s v="Home to 100 East 10th Street"/>
    <n v="11.4"/>
    <m/>
    <m/>
  </r>
  <r>
    <n v="51"/>
    <m/>
    <m/>
    <x v="78"/>
    <x v="4"/>
    <s v="100 East 10th Street"/>
    <n v="179"/>
    <n v="171"/>
    <n v="3"/>
    <n v="239"/>
    <s v="Scheduled"/>
    <n v="57"/>
    <n v="11391.7"/>
    <n v="0"/>
    <m/>
    <n v="0"/>
    <n v="32"/>
    <s v="Trinity to 100 East 10th Street"/>
    <n v="13.5"/>
    <m/>
    <m/>
  </r>
  <r>
    <n v="51"/>
    <m/>
    <m/>
    <x v="79"/>
    <x v="2"/>
    <s v="100 East 10th Street"/>
    <n v="181.5"/>
    <n v="173.5"/>
    <n v="4"/>
    <n v="243"/>
    <s v="Store"/>
    <n v="43.375"/>
    <n v="11565.2"/>
    <n v="0"/>
    <m/>
    <n v="0"/>
    <n v="0"/>
    <s v="Home to 100 East 10th Street"/>
    <n v="11.4"/>
    <m/>
    <m/>
  </r>
  <r>
    <n v="52"/>
    <m/>
    <m/>
    <x v="80"/>
    <x v="3"/>
    <s v="100 East 10th Street"/>
    <n v="189"/>
    <n v="181"/>
    <n v="6"/>
    <n v="249"/>
    <s v="Store"/>
    <n v="30.166666666666668"/>
    <n v="11746.2"/>
    <n v="0"/>
    <m/>
    <n v="0"/>
    <n v="135"/>
    <s v="Home to 100 East 10th Street"/>
    <n v="11.4"/>
    <m/>
    <m/>
  </r>
  <r>
    <n v="1"/>
    <m/>
    <m/>
    <x v="81"/>
    <x v="4"/>
    <s v="100 East 10th Street"/>
    <n v="151"/>
    <n v="143"/>
    <n v="4"/>
    <n v="253"/>
    <s v="Store"/>
    <n v="35.75"/>
    <n v="11889.2"/>
    <n v="0"/>
    <m/>
    <n v="0"/>
    <n v="75.5"/>
    <s v="Home to 100 East 10th Street"/>
    <n v="11.4"/>
    <m/>
    <m/>
  </r>
  <r>
    <n v="2"/>
    <m/>
    <m/>
    <x v="82"/>
    <x v="5"/>
    <s v="100 East 10th Street"/>
    <n v="382"/>
    <n v="374"/>
    <n v="8"/>
    <n v="261"/>
    <s v="Store"/>
    <n v="46.75"/>
    <n v="12263.2"/>
    <n v="0"/>
    <m/>
    <n v="0"/>
    <n v="95"/>
    <s v="Trinity to 100 East 10th Street"/>
    <n v="13.5"/>
    <m/>
    <m/>
  </r>
  <r>
    <n v="2"/>
    <m/>
    <m/>
    <x v="83"/>
    <x v="3"/>
    <s v="100 East 10th Street"/>
    <n v="171.9"/>
    <n v="163.9"/>
    <n v="2"/>
    <n v="263"/>
    <s v="Scheduled"/>
    <n v="81.95"/>
    <n v="12427.1"/>
    <n v="0"/>
    <m/>
    <n v="0"/>
    <n v="0"/>
    <s v="Trinity to 100 East 10th Street"/>
    <n v="13.5"/>
    <m/>
    <m/>
  </r>
  <r>
    <n v="3"/>
    <m/>
    <m/>
    <x v="84"/>
    <x v="6"/>
    <s v="100 East 10th Street"/>
    <n v="120"/>
    <n v="112"/>
    <n v="2"/>
    <n v="265"/>
    <s v="Scheduled"/>
    <n v="56"/>
    <n v="12539.1"/>
    <n v="0"/>
    <m/>
    <n v="0"/>
    <n v="0"/>
    <s v="Home to 100 East 10th Street"/>
    <n v="11.4"/>
    <m/>
    <m/>
  </r>
  <r>
    <n v="3"/>
    <m/>
    <m/>
    <x v="85"/>
    <x v="5"/>
    <s v="100 East 10th Street"/>
    <n v="172"/>
    <n v="164"/>
    <n v="3"/>
    <n v="268"/>
    <s v="Scheduled"/>
    <n v="54.666666666666664"/>
    <n v="12703.1"/>
    <n v="0"/>
    <m/>
    <n v="0"/>
    <n v="0"/>
    <s v="Trinity to 100 East 10th Street"/>
    <n v="13.5"/>
    <m/>
    <m/>
  </r>
  <r>
    <n v="4"/>
    <m/>
    <m/>
    <x v="86"/>
    <x v="6"/>
    <s v="100 East 10th Street"/>
    <n v="212"/>
    <n v="204"/>
    <n v="4"/>
    <n v="272"/>
    <s v="Scheduled"/>
    <n v="51"/>
    <n v="12907.1"/>
    <n v="0"/>
    <m/>
    <n v="0"/>
    <n v="0"/>
    <s v="Home to 100 East 10th Street"/>
    <n v="11.4"/>
    <m/>
    <m/>
  </r>
  <r>
    <n v="4"/>
    <m/>
    <m/>
    <x v="87"/>
    <x v="4"/>
    <s v="100 East 10th Street"/>
    <n v="175"/>
    <n v="167"/>
    <n v="2"/>
    <n v="274"/>
    <s v="Scheduled"/>
    <n v="83.5"/>
    <n v="13074.1"/>
    <n v="0"/>
    <m/>
    <n v="0"/>
    <n v="0"/>
    <s v="Trinity to 100 East 10th Street"/>
    <n v="13.5"/>
    <m/>
    <m/>
  </r>
  <r>
    <n v="4"/>
    <m/>
    <m/>
    <x v="88"/>
    <x v="3"/>
    <s v="100 East 10th Street"/>
    <n v="180"/>
    <n v="172"/>
    <n v="3"/>
    <n v="277"/>
    <s v="Scheduled"/>
    <n v="57.333333333333336"/>
    <n v="13246.1"/>
    <n v="0"/>
    <m/>
    <n v="0"/>
    <n v="0"/>
    <s v="Trinity to 100 East 10th Street"/>
    <n v="13.5"/>
    <m/>
    <m/>
  </r>
  <r>
    <n v="5"/>
    <m/>
    <m/>
    <x v="89"/>
    <x v="6"/>
    <s v="100 East 10th Street"/>
    <n v="151.5"/>
    <n v="143.5"/>
    <n v="2"/>
    <n v="279"/>
    <s v="Scheduled"/>
    <n v="71.75"/>
    <n v="13389.6"/>
    <n v="0"/>
    <m/>
    <n v="0"/>
    <n v="0"/>
    <s v="Home to 100 East 10th Street"/>
    <n v="11.4"/>
    <m/>
    <m/>
  </r>
  <r>
    <n v="5"/>
    <m/>
    <m/>
    <x v="90"/>
    <x v="4"/>
    <s v="100 East 10th Street"/>
    <n v="155"/>
    <n v="147"/>
    <n v="2"/>
    <n v="281"/>
    <s v="Scheduled"/>
    <n v="73.5"/>
    <n v="13536.6"/>
    <n v="0"/>
    <m/>
    <n v="0"/>
    <n v="0"/>
    <s v="Trinity to 100 East 10th Street"/>
    <n v="13.5"/>
    <m/>
    <m/>
  </r>
  <r>
    <n v="5"/>
    <m/>
    <m/>
    <x v="91"/>
    <x v="1"/>
    <s v="100 East 10th Street"/>
    <n v="153"/>
    <n v="145"/>
    <n v="2"/>
    <n v="283"/>
    <s v="Scheduled"/>
    <n v="72.5"/>
    <n v="13681.6"/>
    <n v="0"/>
    <m/>
    <n v="0"/>
    <n v="48.5"/>
    <s v="Trinity to 100 East 10th Street"/>
    <n v="13.5"/>
    <m/>
    <m/>
  </r>
  <r>
    <n v="5"/>
    <m/>
    <m/>
    <x v="92"/>
    <x v="2"/>
    <s v="100 East 10th Street"/>
    <n v="144.5"/>
    <n v="136.5"/>
    <n v="2"/>
    <n v="285"/>
    <s v="Scheduled"/>
    <n v="68.25"/>
    <n v="13818.1"/>
    <n v="0"/>
    <m/>
    <n v="0"/>
    <n v="0"/>
    <s v="Home to 100 East 10th Street"/>
    <n v="11.4"/>
    <m/>
    <m/>
  </r>
  <r>
    <n v="6"/>
    <m/>
    <m/>
    <x v="93"/>
    <x v="0"/>
    <s v="100 East 10th Street"/>
    <n v="103.5"/>
    <n v="95.5"/>
    <n v="2"/>
    <n v="287"/>
    <s v="Scheduled"/>
    <n v="47.75"/>
    <n v="13913.6"/>
    <n v="0"/>
    <m/>
    <n v="0"/>
    <n v="0"/>
    <s v="Trinity to 100 East 10th Street"/>
    <n v="13.5"/>
    <m/>
    <m/>
  </r>
  <r>
    <n v="6"/>
    <m/>
    <m/>
    <x v="94"/>
    <x v="5"/>
    <s v="100 East 10th Street"/>
    <n v="160"/>
    <n v="152"/>
    <n v="2"/>
    <n v="289"/>
    <s v="Scheduled"/>
    <n v="76"/>
    <n v="14065.6"/>
    <n v="0"/>
    <m/>
    <n v="0"/>
    <n v="0"/>
    <s v="Trinity to 100 East 10th Street"/>
    <n v="13.5"/>
    <m/>
    <m/>
  </r>
  <r>
    <n v="6"/>
    <m/>
    <m/>
    <x v="95"/>
    <x v="3"/>
    <s v="100 East 10th Street"/>
    <n v="164"/>
    <n v="156"/>
    <n v="2"/>
    <n v="291"/>
    <s v="Scheduled"/>
    <n v="78"/>
    <n v="14221.6"/>
    <n v="0"/>
    <m/>
    <n v="0"/>
    <n v="0"/>
    <s v="Trinity to 100 East 10th Street"/>
    <n v="13.5"/>
    <m/>
    <m/>
  </r>
  <r>
    <n v="7"/>
    <m/>
    <m/>
    <x v="96"/>
    <x v="0"/>
    <s v="100 East 10th Street"/>
    <n v="155"/>
    <n v="147"/>
    <n v="3"/>
    <n v="294"/>
    <s v="Scheduled"/>
    <n v="49"/>
    <n v="14368.6"/>
    <n v="0"/>
    <m/>
    <n v="0"/>
    <n v="0"/>
    <s v="Trinity to 100 East 10th Street"/>
    <n v="13.5"/>
    <m/>
    <m/>
  </r>
  <r>
    <n v="7"/>
    <m/>
    <m/>
    <x v="97"/>
    <x v="5"/>
    <s v="100 East 10th Street"/>
    <n v="156"/>
    <n v="148"/>
    <n v="2"/>
    <n v="296"/>
    <s v="Scheduled"/>
    <n v="74"/>
    <n v="14516.6"/>
    <n v="0"/>
    <m/>
    <n v="0"/>
    <n v="0"/>
    <s v="Trinity to 100 East 10th Street"/>
    <n v="13.5"/>
    <m/>
    <m/>
  </r>
  <r>
    <n v="7"/>
    <m/>
    <m/>
    <x v="98"/>
    <x v="3"/>
    <s v="100 East 10th Street"/>
    <n v="165"/>
    <n v="157"/>
    <n v="2"/>
    <n v="298"/>
    <s v="Scheduled"/>
    <n v="78.5"/>
    <n v="14673.6"/>
    <n v="0"/>
    <m/>
    <n v="0"/>
    <n v="0"/>
    <s v="Trinity to 100 East 10th Street"/>
    <n v="13.5"/>
    <m/>
    <m/>
  </r>
  <r>
    <n v="8"/>
    <m/>
    <m/>
    <x v="99"/>
    <x v="6"/>
    <s v="100 East 10th Street"/>
    <n v="145"/>
    <n v="137"/>
    <n v="2"/>
    <n v="300"/>
    <s v="Scheduled"/>
    <n v="68.5"/>
    <n v="14810.6"/>
    <n v="0"/>
    <m/>
    <n v="0"/>
    <n v="0"/>
    <s v="Home to 100 East 10th Street"/>
    <n v="11.4"/>
    <m/>
    <m/>
  </r>
  <r>
    <n v="8"/>
    <m/>
    <m/>
    <x v="100"/>
    <x v="4"/>
    <s v="100 East 10th Street"/>
    <n v="180"/>
    <n v="172"/>
    <n v="2"/>
    <n v="302"/>
    <s v="Scheduled"/>
    <n v="86"/>
    <n v="14982.6"/>
    <n v="0"/>
    <m/>
    <n v="0"/>
    <n v="0"/>
    <s v="Trinity to 100 East 10th Street"/>
    <n v="13.5"/>
    <m/>
    <m/>
  </r>
  <r>
    <n v="8"/>
    <m/>
    <m/>
    <x v="101"/>
    <x v="1"/>
    <s v="100 East 10th Street"/>
    <n v="150"/>
    <n v="142"/>
    <n v="2"/>
    <n v="304"/>
    <s v="Scheduled"/>
    <n v="71"/>
    <n v="15124.6"/>
    <n v="0"/>
    <m/>
    <n v="0"/>
    <n v="0"/>
    <s v="Trinity to 100 East 10th Street"/>
    <n v="13.5"/>
    <m/>
    <m/>
  </r>
  <r>
    <n v="9"/>
    <m/>
    <m/>
    <x v="102"/>
    <x v="6"/>
    <s v="100 East 10th Street"/>
    <n v="190"/>
    <n v="182"/>
    <n v="3"/>
    <n v="307"/>
    <s v="Scheduled"/>
    <n v="60.666666666666664"/>
    <n v="15306.6"/>
    <n v="0"/>
    <m/>
    <n v="0"/>
    <n v="0"/>
    <s v="Home to 100 East 10th Street"/>
    <n v="11.4"/>
    <m/>
    <m/>
  </r>
  <r>
    <n v="9"/>
    <m/>
    <m/>
    <x v="103"/>
    <x v="4"/>
    <s v="100 East 10th Street"/>
    <n v="156"/>
    <n v="148"/>
    <n v="2"/>
    <n v="309"/>
    <s v="Scheduled"/>
    <n v="74"/>
    <n v="15454.6"/>
    <n v="0"/>
    <m/>
    <n v="0"/>
    <n v="0"/>
    <s v="Trinity to 100 East 10th Street"/>
    <n v="13.5"/>
    <m/>
    <m/>
  </r>
  <r>
    <n v="9"/>
    <m/>
    <m/>
    <x v="104"/>
    <x v="1"/>
    <s v="100 East 10th Street"/>
    <n v="165"/>
    <n v="157"/>
    <n v="2"/>
    <n v="311"/>
    <s v="Scheduled"/>
    <n v="78.5"/>
    <n v="15611.6"/>
    <n v="0"/>
    <m/>
    <n v="0"/>
    <n v="0"/>
    <s v="Trinity to 100 East 10th Street"/>
    <n v="13.5"/>
    <m/>
    <m/>
  </r>
  <r>
    <n v="10"/>
    <m/>
    <m/>
    <x v="105"/>
    <x v="0"/>
    <s v="100 East 10th Street"/>
    <n v="312"/>
    <n v="304"/>
    <n v="4"/>
    <n v="315"/>
    <s v="Scheduled"/>
    <n v="76"/>
    <n v="15915.6"/>
    <n v="0"/>
    <m/>
    <n v="0"/>
    <n v="0"/>
    <s v="Trinity to 100 East 10th Street"/>
    <n v="13.5"/>
    <m/>
    <m/>
  </r>
  <r>
    <n v="10"/>
    <m/>
    <m/>
    <x v="106"/>
    <x v="5"/>
    <s v="100 East 10th Street"/>
    <n v="156"/>
    <n v="148"/>
    <n v="2"/>
    <n v="317"/>
    <s v="Store"/>
    <n v="74"/>
    <n v="16063.6"/>
    <n v="0"/>
    <m/>
    <n v="0"/>
    <n v="0"/>
    <s v="Trinity to 100 East 10th Street"/>
    <n v="13.5"/>
    <m/>
    <m/>
  </r>
  <r>
    <n v="11"/>
    <m/>
    <m/>
    <x v="107"/>
    <x v="0"/>
    <s v="100 East 10th Street"/>
    <n v="312"/>
    <n v="304"/>
    <n v="5"/>
    <n v="322"/>
    <s v="Store"/>
    <n v="60.8"/>
    <n v="16367.6"/>
    <n v="0"/>
    <m/>
    <n v="0"/>
    <n v="0"/>
    <s v="Trinity to 100 East 10th Street"/>
    <n v="13.5"/>
    <m/>
    <m/>
  </r>
  <r>
    <n v="11"/>
    <m/>
    <m/>
    <x v="108"/>
    <x v="1"/>
    <s v="100 East 10th Street"/>
    <n v="158"/>
    <n v="150"/>
    <n v="3"/>
    <n v="325"/>
    <s v="Store"/>
    <n v="50"/>
    <n v="16517.599999999999"/>
    <n v="0"/>
    <m/>
    <n v="0"/>
    <n v="0"/>
    <s v="Trinity to 100 East 10th Street"/>
    <n v="13.5"/>
    <m/>
    <m/>
  </r>
  <r>
    <n v="12"/>
    <m/>
    <m/>
    <x v="109"/>
    <x v="6"/>
    <s v="100 East 10th Street"/>
    <n v="200"/>
    <n v="192"/>
    <n v="3"/>
    <n v="328"/>
    <s v="Store"/>
    <n v="64"/>
    <n v="16709.599999999999"/>
    <n v="0"/>
    <m/>
    <n v="0"/>
    <n v="0"/>
    <s v="Home to 100 East 10th Street"/>
    <n v="11.4"/>
    <m/>
    <m/>
  </r>
  <r>
    <n v="12"/>
    <m/>
    <m/>
    <x v="110"/>
    <x v="1"/>
    <s v="100 East 10th Street"/>
    <n v="185"/>
    <n v="177"/>
    <n v="4"/>
    <n v="332"/>
    <s v="Store"/>
    <n v="44.25"/>
    <n v="16886.599999999999"/>
    <n v="0"/>
    <m/>
    <n v="0"/>
    <n v="0"/>
    <s v="Trinity to 100 East 10th Street"/>
    <n v="13.5"/>
    <m/>
    <m/>
  </r>
  <r>
    <n v="13"/>
    <m/>
    <m/>
    <x v="111"/>
    <x v="0"/>
    <s v="100 East 10th Street"/>
    <n v="175"/>
    <n v="167"/>
    <n v="4"/>
    <n v="336"/>
    <s v="Scheduled"/>
    <n v="41.75"/>
    <n v="17053.599999999999"/>
    <n v="167"/>
    <d v="2024-03-25T00:00:00"/>
    <n v="0"/>
    <n v="0"/>
    <s v="Trinity to 100 East 10th Street"/>
    <n v="13.5"/>
    <m/>
    <m/>
  </r>
  <r>
    <n v="13"/>
    <m/>
    <m/>
    <x v="112"/>
    <x v="5"/>
    <s v="100 East 10th Street"/>
    <n v="185"/>
    <n v="177"/>
    <n v="2"/>
    <n v="338"/>
    <s v="Store"/>
    <n v="88.5"/>
    <n v="17230.599999999999"/>
    <n v="0"/>
    <m/>
    <n v="0"/>
    <n v="0"/>
    <s v="Trinity to 100 East 10th Street"/>
    <n v="13.5"/>
    <m/>
    <m/>
  </r>
  <r>
    <n v="13"/>
    <m/>
    <m/>
    <x v="113"/>
    <x v="2"/>
    <s v="100 East 10th Street"/>
    <n v="165"/>
    <n v="157"/>
    <n v="3"/>
    <n v="341"/>
    <s v="Store"/>
    <n v="52.333333333333336"/>
    <n v="17387.599999999999"/>
    <n v="0"/>
    <m/>
    <n v="0"/>
    <n v="0"/>
    <s v="Home to 100 East 10th Street"/>
    <n v="11.4"/>
    <m/>
    <m/>
  </r>
  <r>
    <n v="14"/>
    <m/>
    <m/>
    <x v="114"/>
    <x v="0"/>
    <s v="100 East 10th Street"/>
    <n v="215"/>
    <n v="207"/>
    <n v="2"/>
    <n v="343"/>
    <s v="Store"/>
    <n v="103.5"/>
    <n v="17594.599999999999"/>
    <n v="0"/>
    <m/>
    <n v="0"/>
    <n v="0"/>
    <s v="Trinity to 100 East 10th Street"/>
    <n v="13.5"/>
    <m/>
    <m/>
  </r>
  <r>
    <n v="14"/>
    <m/>
    <m/>
    <x v="115"/>
    <x v="1"/>
    <s v="100 East 10th Street"/>
    <n v="200"/>
    <n v="192"/>
    <n v="3"/>
    <n v="346"/>
    <s v="Store"/>
    <n v="64"/>
    <n v="17786.599999999999"/>
    <n v="0"/>
    <m/>
    <n v="0"/>
    <n v="0"/>
    <s v="Trinity to 100 East 10th Street"/>
    <n v="13.5"/>
    <m/>
    <m/>
  </r>
  <r>
    <n v="15"/>
    <m/>
    <m/>
    <x v="116"/>
    <x v="0"/>
    <s v="100 East 10th Street"/>
    <n v="377"/>
    <n v="369"/>
    <n v="4"/>
    <n v="350"/>
    <s v="Store"/>
    <n v="92.25"/>
    <n v="18155.599999999999"/>
    <n v="0"/>
    <m/>
    <n v="0"/>
    <n v="0"/>
    <s v="Trinity to 100 East 10th Street"/>
    <n v="13.5"/>
    <m/>
    <m/>
  </r>
  <r>
    <n v="15"/>
    <m/>
    <m/>
    <x v="117"/>
    <x v="1"/>
    <s v="100 East 10th Street"/>
    <n v="172"/>
    <n v="164"/>
    <n v="3"/>
    <n v="353"/>
    <s v="Store"/>
    <n v="54.666666666666664"/>
    <n v="18319.599999999999"/>
    <n v="0"/>
    <m/>
    <n v="0"/>
    <n v="0"/>
    <s v="Trinity to 100 East 10th Street"/>
    <n v="13.5"/>
    <m/>
    <m/>
  </r>
  <r>
    <n v="16"/>
    <m/>
    <m/>
    <x v="118"/>
    <x v="6"/>
    <s v="100 East 10th Street"/>
    <n v="200"/>
    <n v="192"/>
    <n v="3"/>
    <n v="356"/>
    <s v="Scheduled"/>
    <n v="64"/>
    <n v="18511.599999999999"/>
    <n v="0"/>
    <m/>
    <n v="0"/>
    <n v="0"/>
    <s v="Home to 100 East 10th Street"/>
    <n v="11.4"/>
    <m/>
    <m/>
  </r>
  <r>
    <n v="16"/>
    <m/>
    <m/>
    <x v="119"/>
    <x v="4"/>
    <s v="100 East 10th Street"/>
    <n v="176"/>
    <n v="168"/>
    <n v="2"/>
    <n v="358"/>
    <s v="Scheduled"/>
    <n v="84"/>
    <n v="18679.599999999999"/>
    <n v="0"/>
    <m/>
    <n v="0"/>
    <n v="0"/>
    <s v="Trinity to 100 East 10th Street"/>
    <n v="13.5"/>
    <m/>
    <m/>
  </r>
  <r>
    <n v="16"/>
    <m/>
    <m/>
    <x v="120"/>
    <x v="1"/>
    <s v="100 East 10th Street"/>
    <n v="165"/>
    <n v="157"/>
    <n v="2"/>
    <n v="360"/>
    <s v="Scheduled"/>
    <n v="78.5"/>
    <n v="18836.599999999999"/>
    <n v="0"/>
    <m/>
    <n v="0"/>
    <n v="0"/>
    <s v="Trinity to 100 East 10th Street"/>
    <n v="13.5"/>
    <m/>
    <m/>
  </r>
  <r>
    <n v="17"/>
    <m/>
    <m/>
    <x v="121"/>
    <x v="6"/>
    <s v="100 East 10th Street"/>
    <n v="186"/>
    <n v="178"/>
    <n v="3"/>
    <n v="363"/>
    <s v="Scheduled"/>
    <n v="59.333333333333336"/>
    <n v="19014.599999999999"/>
    <n v="0"/>
    <m/>
    <n v="0"/>
    <n v="0"/>
    <s v="Home to 100 East 10th Street"/>
    <n v="11.4"/>
    <m/>
    <m/>
  </r>
  <r>
    <n v="17"/>
    <m/>
    <m/>
    <x v="122"/>
    <x v="5"/>
    <s v="100 East 10th Street"/>
    <n v="196"/>
    <n v="188"/>
    <n v="3"/>
    <n v="366"/>
    <s v="Scheduled"/>
    <n v="62.666666666666664"/>
    <n v="19202.599999999999"/>
    <n v="0"/>
    <m/>
    <n v="0"/>
    <n v="0"/>
    <s v="Trinity to 100 East 10th Street"/>
    <n v="13.5"/>
    <m/>
    <m/>
  </r>
  <r>
    <n v="18"/>
    <m/>
    <m/>
    <x v="123"/>
    <x v="0"/>
    <s v="100 East 10th Street"/>
    <n v="379"/>
    <n v="371"/>
    <n v="5"/>
    <n v="371"/>
    <s v="Scheduled"/>
    <n v="74.2"/>
    <n v="19573.599999999999"/>
    <n v="371"/>
    <d v="2024-04-29T00:00:00"/>
    <n v="0"/>
    <n v="0"/>
    <s v="Trinity to 100 East 10th Street"/>
    <n v="13.5"/>
    <m/>
    <m/>
  </r>
  <r>
    <n v="19"/>
    <m/>
    <m/>
    <x v="124"/>
    <x v="0"/>
    <s v="100 East 10th Street"/>
    <n v="317.33999999999997"/>
    <n v="309.33999999999997"/>
    <n v="7"/>
    <n v="378"/>
    <s v="Scheduled"/>
    <n v="44.191428571428567"/>
    <n v="19882.939999999999"/>
    <n v="0"/>
    <m/>
    <n v="0"/>
    <n v="0"/>
    <s v="Trinity to 100 East 10th Street"/>
    <n v="13.5"/>
    <m/>
    <m/>
  </r>
  <r>
    <n v="20"/>
    <m/>
    <m/>
    <x v="125"/>
    <x v="5"/>
    <s v="100 East 10th Street"/>
    <n v="308.53999999999996"/>
    <n v="300.53999999999996"/>
    <n v="9"/>
    <n v="387"/>
    <s v="Scheduled"/>
    <n v="33.393333333333331"/>
    <n v="20183.48"/>
    <n v="0"/>
    <m/>
    <n v="0"/>
    <n v="0"/>
    <s v="Trinity to 100 East 10th Street"/>
    <n v="13.5"/>
    <m/>
    <m/>
  </r>
  <r>
    <n v="21"/>
    <m/>
    <m/>
    <x v="126"/>
    <x v="0"/>
    <s v="100 East 10th Street"/>
    <n v="376.05"/>
    <n v="368.05"/>
    <n v="5"/>
    <n v="392"/>
    <s v="Scheduled"/>
    <n v="73.61"/>
    <n v="20551.53"/>
    <n v="206.15"/>
    <d v="2024-05-20T00:00:00"/>
    <n v="0"/>
    <n v="0"/>
    <s v="Trinity to 100 East 10th Street"/>
    <n v="13.5"/>
    <m/>
    <m/>
  </r>
  <r>
    <n v="21"/>
    <m/>
    <m/>
    <x v="127"/>
    <x v="5"/>
    <s v="100 East 10th Street"/>
    <n v="207"/>
    <n v="199"/>
    <n v="2"/>
    <n v="394"/>
    <s v="Scheduled"/>
    <n v="99.5"/>
    <n v="20750.53"/>
    <n v="0"/>
    <m/>
    <n v="0"/>
    <n v="0"/>
    <s v="Trinity to 100 East 10th Street"/>
    <n v="13.5"/>
    <m/>
    <m/>
  </r>
  <r>
    <n v="22"/>
    <m/>
    <m/>
    <x v="128"/>
    <x v="1"/>
    <s v="100 East 10th Street"/>
    <n v="373"/>
    <n v="365"/>
    <n v="8"/>
    <n v="402"/>
    <s v="Scheduled"/>
    <n v="45.625"/>
    <n v="21115.53"/>
    <n v="321.75"/>
    <d v="2024-05-30T00:00:00"/>
    <n v="0"/>
    <n v="0"/>
    <s v="Home to 100 East 10th Street"/>
    <n v="11.4"/>
    <m/>
    <m/>
  </r>
  <r>
    <n v="23"/>
    <m/>
    <m/>
    <x v="129"/>
    <x v="6"/>
    <s v="100 East 10th Street"/>
    <n v="127.52"/>
    <n v="119.52"/>
    <n v="3"/>
    <n v="405"/>
    <s v="Scheduled"/>
    <n v="39.839999999999996"/>
    <n v="21235.05"/>
    <n v="0"/>
    <m/>
    <n v="0"/>
    <n v="0"/>
    <s v="Home to 100 East 10th Street"/>
    <n v="11.4"/>
    <m/>
    <m/>
  </r>
  <r>
    <n v="23"/>
    <m/>
    <m/>
    <x v="130"/>
    <x v="1"/>
    <s v="100 East 10th Street"/>
    <n v="447.98"/>
    <n v="439.98"/>
    <n v="4"/>
    <n v="409"/>
    <s v="Scheduled"/>
    <n v="109.995"/>
    <n v="21675.03"/>
    <n v="0"/>
    <m/>
    <n v="0"/>
    <n v="0"/>
    <s v="Home to 100 East 10th Street"/>
    <n v="11.4"/>
    <m/>
    <m/>
  </r>
  <r>
    <n v="24"/>
    <m/>
    <m/>
    <x v="131"/>
    <x v="5"/>
    <s v="100 East 10th Street"/>
    <n v="329.8125"/>
    <n v="321.8125"/>
    <n v="6"/>
    <n v="415"/>
    <s v="Scheduled"/>
    <n v="53.635416666666664"/>
    <n v="21996.842499999999"/>
    <n v="329.8125"/>
    <d v="2024-06-12T00:00:00"/>
    <n v="0"/>
    <n v="0"/>
    <s v="Home to 100 East 10th Street"/>
    <n v="11.4"/>
    <m/>
    <m/>
  </r>
  <r>
    <n v="24"/>
    <m/>
    <m/>
    <x v="132"/>
    <x v="2"/>
    <s v="100 East 10th Street"/>
    <n v="451.8"/>
    <n v="443.8"/>
    <n v="3"/>
    <n v="418"/>
    <s v="Scheduled"/>
    <n v="147.93333333333334"/>
    <n v="22440.642499999998"/>
    <n v="0"/>
    <m/>
    <n v="0"/>
    <n v="0"/>
    <s v="Home to 100 East 10th Street"/>
    <n v="11.4"/>
    <m/>
    <m/>
  </r>
  <r>
    <n v="25"/>
    <m/>
    <m/>
    <x v="133"/>
    <x v="4"/>
    <s v="100 East 10th Street"/>
    <n v="161"/>
    <n v="153"/>
    <n v="3"/>
    <n v="421"/>
    <s v="Scheduled"/>
    <n v="51"/>
    <n v="22593.642499999998"/>
    <n v="0"/>
    <m/>
    <n v="0"/>
    <n v="0"/>
    <s v="Home to 100 East 10th Street"/>
    <n v="11.4"/>
    <m/>
    <m/>
  </r>
  <r>
    <n v="26"/>
    <m/>
    <m/>
    <x v="134"/>
    <x v="4"/>
    <s v="100 East 10th Street"/>
    <n v="152.02000000000001"/>
    <n v="144.02000000000001"/>
    <n v="7"/>
    <n v="428"/>
    <s v="Scheduled"/>
    <n v="20.574285714285715"/>
    <n v="22737.662499999999"/>
    <n v="0"/>
    <m/>
    <n v="0"/>
    <n v="0"/>
    <s v="Home to 100 East 10th Street"/>
    <n v="11.4"/>
    <m/>
    <m/>
  </r>
  <r>
    <n v="27"/>
    <m/>
    <m/>
    <x v="135"/>
    <x v="6"/>
    <s v="100 East 10th Street"/>
    <n v="398.64"/>
    <n v="390.64"/>
    <n v="5"/>
    <n v="433"/>
    <s v="Scheduled"/>
    <n v="78.128"/>
    <n v="23128.302499999998"/>
    <n v="0"/>
    <m/>
    <n v="0"/>
    <n v="0"/>
    <s v="Home to 100 East 10th Street"/>
    <n v="11.4"/>
    <m/>
    <m/>
  </r>
  <r>
    <n v="27"/>
    <m/>
    <m/>
    <x v="136"/>
    <x v="3"/>
    <s v="100 East 10th Street"/>
    <n v="372.56"/>
    <n v="364.56"/>
    <n v="5"/>
    <n v="438"/>
    <s v="Scheduled"/>
    <n v="72.912000000000006"/>
    <n v="23492.862499999999"/>
    <n v="0"/>
    <m/>
    <n v="0"/>
    <n v="0"/>
    <s v="Home to 100 East 10th Street"/>
    <n v="11.4"/>
    <m/>
    <m/>
  </r>
  <r>
    <n v="29"/>
    <m/>
    <m/>
    <x v="137"/>
    <x v="5"/>
    <s v="100 East 10th Street"/>
    <n v="449.66"/>
    <n v="441.66"/>
    <n v="12"/>
    <n v="450"/>
    <s v="Scheduled"/>
    <n v="36.805"/>
    <n v="23934.522499999999"/>
    <n v="0"/>
    <m/>
    <n v="0"/>
    <n v="0"/>
    <s v="Home to 100 East 10th Street"/>
    <n v="11.4"/>
    <m/>
    <m/>
  </r>
  <r>
    <n v="30"/>
    <m/>
    <m/>
    <x v="138"/>
    <x v="0"/>
    <s v="100 East 10th Street"/>
    <n v="108.6"/>
    <n v="100.6"/>
    <n v="5"/>
    <n v="455"/>
    <s v="Scheduled"/>
    <n v="20.119999999999997"/>
    <n v="24035.122499999998"/>
    <n v="0"/>
    <m/>
    <n v="0"/>
    <n v="0"/>
    <s v="Home to 100 East 10th Street"/>
    <n v="11.4"/>
    <m/>
    <m/>
  </r>
  <r>
    <n v="30"/>
    <m/>
    <m/>
    <x v="139"/>
    <x v="3"/>
    <s v="100 East 10th Street"/>
    <n v="383.9"/>
    <n v="375.9"/>
    <n v="4"/>
    <n v="459"/>
    <s v="Scheduled"/>
    <n v="93.974999999999994"/>
    <n v="24411.022499999999"/>
    <n v="0"/>
    <m/>
    <n v="0"/>
    <n v="0"/>
    <s v="Home to 100 East 10th Street"/>
    <n v="11.4"/>
    <m/>
    <m/>
  </r>
  <r>
    <n v="31"/>
    <m/>
    <m/>
    <x v="140"/>
    <x v="4"/>
    <s v="100 East 10th Street"/>
    <n v="185.7"/>
    <n v="177.7"/>
    <n v="4"/>
    <n v="463"/>
    <s v="Scheduled"/>
    <n v="44.424999999999997"/>
    <n v="24588.7225"/>
    <n v="0"/>
    <m/>
    <n v="0"/>
    <n v="0"/>
    <s v="Home to 100 East 10th Street"/>
    <n v="11.4"/>
    <m/>
    <m/>
  </r>
  <r>
    <n v="31"/>
    <m/>
    <m/>
    <x v="141"/>
    <x v="3"/>
    <s v="100 East 10th Street"/>
    <n v="347.62"/>
    <n v="339.62"/>
    <n v="3"/>
    <n v="466"/>
    <s v="Scheduled"/>
    <n v="113.20666666666666"/>
    <n v="24928.342499999999"/>
    <n v="0"/>
    <m/>
    <n v="0"/>
    <n v="0"/>
    <s v="Home to 100 East 10th Street"/>
    <n v="11.4"/>
    <m/>
    <m/>
  </r>
  <r>
    <n v="32"/>
    <m/>
    <m/>
    <x v="142"/>
    <x v="1"/>
    <s v="100 East 10th Street"/>
    <n v="340.3"/>
    <n v="332.3"/>
    <n v="6"/>
    <n v="472"/>
    <s v="Scheduled"/>
    <n v="55.383333333333333"/>
    <n v="25260.642499999998"/>
    <n v="340.3"/>
    <d v="2024-08-08T00:00:00"/>
    <n v="0"/>
    <n v="0"/>
    <s v="Home to 100 East 10th Street"/>
    <n v="11.4"/>
    <m/>
    <m/>
  </r>
  <r>
    <n v="33"/>
    <m/>
    <m/>
    <x v="143"/>
    <x v="4"/>
    <s v="100 East 10th Street"/>
    <n v="189.44"/>
    <n v="181.44"/>
    <n v="5"/>
    <n v="477"/>
    <s v="Scheduled"/>
    <n v="36.287999999999997"/>
    <n v="25442.082499999997"/>
    <n v="0"/>
    <m/>
    <n v="0"/>
    <n v="0"/>
    <s v="Trinity to 100 East 10th Street"/>
    <n v="13.5"/>
    <m/>
    <m/>
  </r>
  <r>
    <n v="34"/>
    <m/>
    <m/>
    <x v="144"/>
    <x v="0"/>
    <s v="100 East 10th Street"/>
    <n v="507"/>
    <n v="499"/>
    <n v="6"/>
    <n v="483"/>
    <s v="Scheduled"/>
    <n v="83.166666666666671"/>
    <n v="25941.082499999997"/>
    <n v="0"/>
    <m/>
    <n v="0"/>
    <n v="0"/>
    <s v="Trinity to 100 East 10th Street"/>
    <n v="13.5"/>
    <m/>
    <m/>
  </r>
  <r>
    <n v="35"/>
    <m/>
    <m/>
    <x v="145"/>
    <x v="0"/>
    <s v="100 East 10th Street"/>
    <n v="172"/>
    <n v="164"/>
    <n v="7"/>
    <n v="490"/>
    <s v="Scheduled"/>
    <n v="23.428571428571427"/>
    <n v="26105.082499999997"/>
    <n v="0"/>
    <m/>
    <n v="0"/>
    <n v="0"/>
    <s v="Trinity to 100 East 10th Street"/>
    <n v="13.5"/>
    <m/>
    <m/>
  </r>
  <r>
    <n v="35"/>
    <m/>
    <m/>
    <x v="146"/>
    <x v="4"/>
    <s v="100 East 10th Street"/>
    <n v="153.9"/>
    <n v="145.9"/>
    <n v="1"/>
    <n v="491"/>
    <s v="Scheduled"/>
    <n v="145.9"/>
    <n v="26250.982499999998"/>
    <n v="0"/>
    <m/>
    <n v="0"/>
    <n v="0"/>
    <s v="Trinity to 100 East 10th Street"/>
    <n v="13.5"/>
    <m/>
    <m/>
  </r>
  <r>
    <n v="35"/>
    <m/>
    <m/>
    <x v="147"/>
    <x v="3"/>
    <s v="100 East 10th Street"/>
    <n v="171.78"/>
    <n v="163.78"/>
    <n v="3"/>
    <n v="494"/>
    <s v="Scheduled"/>
    <n v="54.593333333333334"/>
    <n v="26414.762499999997"/>
    <n v="163.78"/>
    <m/>
    <n v="0"/>
    <n v="0"/>
    <s v="Trinity to 100 East 10th Street"/>
    <n v="13.5"/>
    <m/>
    <m/>
  </r>
  <r>
    <n v="36"/>
    <m/>
    <m/>
    <x v="148"/>
    <x v="0"/>
    <s v="100 East 10th Street"/>
    <n v="268.62"/>
    <n v="260.62"/>
    <n v="3"/>
    <n v="497"/>
    <s v="Scheduled"/>
    <n v="86.873333333333335"/>
    <n v="26675.382499999996"/>
    <n v="0"/>
    <m/>
    <n v="0"/>
    <n v="0"/>
    <s v="Trinity to 100 East 10th Street"/>
    <n v="13.5"/>
    <m/>
    <m/>
  </r>
  <r>
    <n v="36"/>
    <m/>
    <m/>
    <x v="149"/>
    <x v="5"/>
    <s v="100 East 10th Street"/>
    <n v="165.36"/>
    <n v="157.36000000000001"/>
    <n v="2"/>
    <n v="499"/>
    <s v="Scheduled"/>
    <n v="78.680000000000007"/>
    <n v="26832.742499999997"/>
    <n v="0"/>
    <m/>
    <n v="0"/>
    <n v="0"/>
    <s v="Trinity to 100 East 10th Street"/>
    <n v="13.5"/>
    <m/>
    <m/>
  </r>
  <r>
    <n v="37"/>
    <m/>
    <m/>
    <x v="150"/>
    <x v="0"/>
    <s v="100 East 10th Street"/>
    <n v="337.86"/>
    <n v="329.86"/>
    <n v="5"/>
    <n v="504"/>
    <s v="Scheduled"/>
    <n v="65.972000000000008"/>
    <n v="27162.602499999997"/>
    <n v="337.86"/>
    <d v="2024-09-09T00:00:00"/>
    <n v="0"/>
    <n v="0"/>
    <s v="Trinity to 100 East 10th Street"/>
    <n v="13.5"/>
    <m/>
    <s v="Last day before store remodel"/>
  </r>
  <r>
    <n v="46"/>
    <m/>
    <m/>
    <x v="151"/>
    <x v="4"/>
    <s v="100 East 10th Street"/>
    <n v="526"/>
    <n v="518"/>
    <n v="64"/>
    <n v="568"/>
    <s v="Scheduled"/>
    <n v="8.09375"/>
    <n v="27680.602499999997"/>
    <n v="0"/>
    <m/>
    <n v="0"/>
    <n v="0"/>
    <s v="Trinity to 100 East 10th Street"/>
    <n v="13.5"/>
    <m/>
    <s v="1st day back after store remodel"/>
  </r>
  <r>
    <n v="46"/>
    <m/>
    <m/>
    <x v="152"/>
    <x v="3"/>
    <s v="100 East 10th Street"/>
    <n v="245.88000000000002"/>
    <n v="237.88000000000002"/>
    <n v="3"/>
    <n v="571"/>
    <s v="Scheduled"/>
    <n v="79.293333333333337"/>
    <n v="27918.482499999998"/>
    <n v="0"/>
    <m/>
    <n v="0"/>
    <n v="0"/>
    <s v="Trinity to 100 East 10th Street"/>
    <n v="13.5"/>
    <m/>
    <m/>
  </r>
  <r>
    <n v="47"/>
    <m/>
    <m/>
    <x v="153"/>
    <x v="6"/>
    <s v="100 East 10th Street"/>
    <n v="203.5"/>
    <n v="195.5"/>
    <n v="2"/>
    <n v="573"/>
    <s v="Scheduled"/>
    <n v="97.75"/>
    <n v="28113.982499999998"/>
    <n v="203.5"/>
    <d v="2024-11-17T00:00:00"/>
    <n v="0"/>
    <n v="0"/>
    <s v="Home to 100 East 10th Street"/>
    <n v="11.4"/>
    <m/>
    <m/>
  </r>
  <r>
    <n v="47"/>
    <m/>
    <m/>
    <x v="154"/>
    <x v="4"/>
    <s v="100 East 10th Street"/>
    <n v="82.66"/>
    <n v="74.66"/>
    <n v="2"/>
    <n v="575"/>
    <s v="Scheduled"/>
    <n v="37.33"/>
    <n v="28188.642499999998"/>
    <n v="0"/>
    <m/>
    <n v="0"/>
    <n v="0"/>
    <s v="Trinity to 100 East 10th Street"/>
    <n v="13.5"/>
    <m/>
    <m/>
  </r>
  <r>
    <n v="47"/>
    <m/>
    <m/>
    <x v="155"/>
    <x v="3"/>
    <s v="100 East 10th Street"/>
    <n v="179"/>
    <n v="171"/>
    <n v="3"/>
    <n v="578"/>
    <s v="Scheduled"/>
    <n v="57"/>
    <n v="28359.642499999998"/>
    <n v="0"/>
    <m/>
    <n v="0"/>
    <n v="0"/>
    <s v="Home to 100 East 10th Street"/>
    <n v="11.4"/>
    <m/>
    <m/>
  </r>
  <r>
    <n v="48"/>
    <m/>
    <m/>
    <x v="156"/>
    <x v="5"/>
    <s v="100 East 10th Street"/>
    <n v="189"/>
    <n v="181"/>
    <n v="5"/>
    <n v="583"/>
    <s v="Scheduled"/>
    <n v="36.200000000000003"/>
    <n v="28540.642499999998"/>
    <n v="0"/>
    <m/>
    <n v="0"/>
    <n v="0"/>
    <s v="Home to 100 East 10th Street"/>
    <n v="11.4"/>
    <m/>
    <m/>
  </r>
  <r>
    <n v="48"/>
    <m/>
    <m/>
    <x v="157"/>
    <x v="2"/>
    <s v="100 East 10th Street"/>
    <n v="199"/>
    <n v="191"/>
    <n v="3"/>
    <n v="586"/>
    <s v="Scheduled"/>
    <n v="63.666666666666664"/>
    <n v="28731.642499999998"/>
    <n v="0"/>
    <m/>
    <n v="0"/>
    <n v="0"/>
    <s v="Home to 100 East 10th Street"/>
    <n v="11.4"/>
    <m/>
    <m/>
  </r>
  <r>
    <n v="49"/>
    <m/>
    <m/>
    <x v="158"/>
    <x v="1"/>
    <s v="100 East 10th Street"/>
    <n v="200"/>
    <n v="192"/>
    <n v="5"/>
    <n v="591"/>
    <s v="Scheduled"/>
    <n v="38.4"/>
    <n v="28923.642499999998"/>
    <n v="0"/>
    <m/>
    <n v="0"/>
    <n v="0"/>
    <s v="Home to 100 East 10th Street"/>
    <n v="11.4"/>
    <m/>
    <m/>
  </r>
  <r>
    <n v="50"/>
    <m/>
    <m/>
    <x v="159"/>
    <x v="6"/>
    <s v="100 East 10th Street"/>
    <n v="175"/>
    <n v="167"/>
    <n v="3"/>
    <n v="594"/>
    <s v="Scheduled"/>
    <n v="55.666666666666664"/>
    <n v="29090.642499999998"/>
    <n v="0"/>
    <m/>
    <n v="0"/>
    <n v="0"/>
    <s v="Home to 100 East 10th Street"/>
    <n v="11.4"/>
    <m/>
    <m/>
  </r>
  <r>
    <n v="50"/>
    <m/>
    <m/>
    <x v="160"/>
    <x v="5"/>
    <s v="100 East 10th Street"/>
    <n v="234.34000000000003"/>
    <n v="226.34000000000003"/>
    <n v="3"/>
    <n v="597"/>
    <s v="Scheduled"/>
    <n v="75.446666666666673"/>
    <n v="29316.982499999998"/>
    <n v="0"/>
    <m/>
    <n v="0"/>
    <n v="0"/>
    <s v="Trinity to 100 East 10th Street"/>
    <n v="13.5"/>
    <m/>
    <m/>
  </r>
  <r>
    <n v="51"/>
    <m/>
    <m/>
    <x v="161"/>
    <x v="0"/>
    <s v="100 East 10th Street"/>
    <n v="352.32000000000005"/>
    <n v="344.32000000000005"/>
    <n v="5"/>
    <n v="602"/>
    <s v="Store"/>
    <n v="68.864000000000004"/>
    <n v="29661.302499999998"/>
    <n v="0"/>
    <m/>
    <n v="0"/>
    <n v="0"/>
    <s v="Trinity to 100 East 10th Street"/>
    <n v="13.5"/>
    <m/>
    <m/>
  </r>
  <r>
    <n v="52"/>
    <m/>
    <m/>
    <x v="162"/>
    <x v="0"/>
    <s v="100 East 10th Street"/>
    <n v="260"/>
    <n v="252"/>
    <n v="7"/>
    <n v="609"/>
    <s v="Scheduled"/>
    <n v="36"/>
    <n v="29913.302499999998"/>
    <n v="0"/>
    <m/>
    <n v="0"/>
    <n v="0"/>
    <s v="Home to 100 East 10th Street"/>
    <n v="11.4"/>
    <m/>
    <m/>
  </r>
  <r>
    <n v="52"/>
    <m/>
    <m/>
    <x v="163"/>
    <x v="1"/>
    <s v="100 East 10th Street"/>
    <n v="100"/>
    <n v="92"/>
    <n v="3"/>
    <n v="612"/>
    <s v="Scheduled"/>
    <n v="30.666666666666668"/>
    <n v="30005.302499999998"/>
    <n v="0"/>
    <m/>
    <n v="0"/>
    <n v="0"/>
    <s v="Home to 100 East 10th Street"/>
    <n v="11.4"/>
    <m/>
    <m/>
  </r>
  <r>
    <n v="1"/>
    <m/>
    <m/>
    <x v="164"/>
    <x v="2"/>
    <s v="100 East 10th Street"/>
    <n v="103.74"/>
    <n v="95.74"/>
    <n v="9"/>
    <n v="621"/>
    <s v="Scheduled"/>
    <n v="10.637777777777778"/>
    <n v="30101.0425"/>
    <n v="0"/>
    <m/>
    <n v="0"/>
    <n v="0"/>
    <s v="Home to 100 East 10th Street"/>
    <n v="11.4"/>
    <m/>
    <m/>
  </r>
  <r>
    <n v="2"/>
    <m/>
    <m/>
    <x v="165"/>
    <x v="5"/>
    <s v="100 East 10th Street"/>
    <n v="371.78"/>
    <n v="363.78"/>
    <n v="4"/>
    <n v="625"/>
    <s v="Scheduled"/>
    <n v="90.944999999999993"/>
    <n v="30464.822499999998"/>
    <n v="0"/>
    <m/>
    <n v="0"/>
    <n v="0"/>
    <s v="Trinity to 100 East 10th Street"/>
    <n v="13.5"/>
    <m/>
    <m/>
  </r>
  <r>
    <n v="3"/>
    <m/>
    <m/>
    <x v="166"/>
    <x v="0"/>
    <s v="100 East 10th Street"/>
    <n v="273.55"/>
    <n v="265.55"/>
    <n v="5"/>
    <n v="630"/>
    <s v="Scheduled"/>
    <n v="53.11"/>
    <n v="30730.372499999998"/>
    <n v="0"/>
    <m/>
    <n v="0"/>
    <n v="0"/>
    <s v="Trinity to 100 East 10th Street"/>
    <n v="13.5"/>
    <m/>
    <m/>
  </r>
  <r>
    <n v="4"/>
    <m/>
    <m/>
    <x v="167"/>
    <x v="0"/>
    <s v="100 East 10th Street"/>
    <n v="360.6"/>
    <n v="352.6"/>
    <n v="7"/>
    <n v="637"/>
    <s v="Scheduled"/>
    <n v="50.371428571428574"/>
    <n v="31082.972499999996"/>
    <n v="0"/>
    <m/>
    <n v="0"/>
    <n v="0"/>
    <s v="Trinity to 100 East 10th Street"/>
    <n v="13.5"/>
    <m/>
    <m/>
  </r>
  <r>
    <n v="4"/>
    <m/>
    <m/>
    <x v="168"/>
    <x v="3"/>
    <s v="100 East 10th Street"/>
    <n v="264.56"/>
    <n v="256.56"/>
    <n v="4"/>
    <n v="641"/>
    <s v="Scheduled"/>
    <n v="64.14"/>
    <n v="31339.532499999998"/>
    <n v="0"/>
    <m/>
    <n v="0"/>
    <n v="0"/>
    <s v="Trinity to 100 East 10th Street"/>
    <n v="13.5"/>
    <m/>
    <m/>
  </r>
  <r>
    <n v="5"/>
    <m/>
    <m/>
    <x v="169"/>
    <x v="5"/>
    <s v="100 East 10th Street"/>
    <n v="294.77999999999997"/>
    <n v="286.77999999999997"/>
    <n v="5"/>
    <n v="646"/>
    <s v="Scheduled"/>
    <n v="57.355999999999995"/>
    <n v="31626.312499999996"/>
    <n v="0"/>
    <m/>
    <n v="0"/>
    <n v="0"/>
    <s v="Trinity to 100 East 10th Street"/>
    <n v="13.5"/>
    <m/>
    <m/>
  </r>
  <r>
    <n v="6"/>
    <m/>
    <m/>
    <x v="170"/>
    <x v="4"/>
    <s v="100 East 10th Street"/>
    <n v="294.88"/>
    <n v="286.88"/>
    <n v="6"/>
    <n v="652"/>
    <s v="Scheduled"/>
    <n v="47.813333333333333"/>
    <n v="31913.192499999997"/>
    <n v="0"/>
    <m/>
    <n v="0"/>
    <n v="0"/>
    <s v="Trinity to 100 East 10th Street"/>
    <n v="13.5"/>
    <m/>
    <m/>
  </r>
  <r>
    <n v="6"/>
    <m/>
    <m/>
    <x v="171"/>
    <x v="3"/>
    <s v="100 East 10th Street"/>
    <n v="344.02"/>
    <n v="336.02"/>
    <n v="3"/>
    <n v="655"/>
    <s v="Scheduled"/>
    <n v="112.00666666666666"/>
    <n v="32249.212499999998"/>
    <n v="0"/>
    <m/>
    <n v="0"/>
    <n v="0"/>
    <s v="Trinity to 100 East 10th Street"/>
    <n v="13.5"/>
    <m/>
    <m/>
  </r>
  <r>
    <n v="7"/>
    <m/>
    <m/>
    <x v="172"/>
    <x v="1"/>
    <s v="100 East 10th Street"/>
    <n v="275.7"/>
    <n v="267.7"/>
    <n v="6"/>
    <n v="661"/>
    <s v="Scheduled"/>
    <n v="44.616666666666667"/>
    <n v="32516.912499999999"/>
    <n v="0"/>
    <m/>
    <n v="0"/>
    <n v="0"/>
    <s v="Trinity to 100 East 10th Street"/>
    <n v="13.5"/>
    <m/>
    <m/>
  </r>
  <r>
    <n v="8"/>
    <m/>
    <m/>
    <x v="173"/>
    <x v="4"/>
    <s v="100 East 10th Street"/>
    <n v="564.22"/>
    <n v="556.22"/>
    <n v="11"/>
    <n v="666"/>
    <s v="Scheduled"/>
    <n v="50.56545454545455"/>
    <n v="33073.1325"/>
    <n v="0"/>
    <m/>
    <n v="0"/>
    <n v="0"/>
    <s v="Trinity to 100 East 10th Street"/>
    <n v="13.5"/>
    <m/>
    <m/>
  </r>
  <r>
    <n v="9"/>
    <m/>
    <m/>
    <x v="174"/>
    <x v="2"/>
    <s v="100 East 10th Street"/>
    <n v="533.88"/>
    <n v="525.88"/>
    <n v="11"/>
    <n v="677"/>
    <s v="Scheduled"/>
    <n v="47.807272727272725"/>
    <n v="33599.012499999997"/>
    <n v="0"/>
    <m/>
    <n v="0"/>
    <n v="0"/>
    <s v="Home to 100 East 10th Street"/>
    <n v="11.4"/>
    <m/>
    <m/>
  </r>
  <r>
    <n v="10"/>
    <m/>
    <m/>
    <x v="175"/>
    <x v="3"/>
    <s v="100 East 10th Street"/>
    <n v="271.43"/>
    <n v="263.43"/>
    <n v="6"/>
    <n v="683"/>
    <s v="Scheduled"/>
    <n v="43.905000000000001"/>
    <n v="33862.442499999997"/>
    <n v="0"/>
    <m/>
    <n v="0"/>
    <n v="0"/>
    <s v="Trinity to 100 East 10th Street"/>
    <n v="13.5"/>
    <m/>
    <m/>
  </r>
  <r>
    <n v="11"/>
    <m/>
    <m/>
    <x v="176"/>
    <x v="4"/>
    <s v="100 East 10th Street"/>
    <n v="145.22999999999999"/>
    <n v="137.22999999999999"/>
    <n v="4"/>
    <n v="687"/>
    <s v="Scheduled"/>
    <n v="34.307499999999997"/>
    <n v="33999.672500000001"/>
    <n v="0"/>
    <m/>
    <n v="0"/>
    <n v="0"/>
    <s v="Trinity to 100 East 10th Street"/>
    <n v="13.5"/>
    <m/>
    <m/>
  </r>
  <r>
    <n v="12"/>
    <m/>
    <m/>
    <x v="177"/>
    <x v="1"/>
    <s v="100 East 10th Street"/>
    <n v="512.78"/>
    <n v="504.78"/>
    <n v="9"/>
    <n v="696"/>
    <s v="Scheduled"/>
    <n v="56.086666666666666"/>
    <n v="34504.452499999999"/>
    <n v="0"/>
    <m/>
    <n v="0"/>
    <n v="0"/>
    <s v="Trinity to 100 East 10th Street"/>
    <n v="13.5"/>
    <m/>
    <m/>
  </r>
  <r>
    <n v="13"/>
    <m/>
    <m/>
    <x v="178"/>
    <x v="5"/>
    <s v="100 East 10th Street"/>
    <n v="350.82"/>
    <n v="342.82"/>
    <n v="6"/>
    <n v="702"/>
    <s v="Scheduled"/>
    <n v="57.136666666666663"/>
    <n v="34847.272499999999"/>
    <n v="0"/>
    <m/>
    <n v="0"/>
    <n v="0"/>
    <s v="Trinity to 100 East 10th Street"/>
    <n v="13.5"/>
    <m/>
    <m/>
  </r>
  <r>
    <n v="14"/>
    <m/>
    <m/>
    <x v="179"/>
    <x v="5"/>
    <s v="100 East 10th Street"/>
    <n v="283.89999999999998"/>
    <n v="275.89999999999998"/>
    <n v="7"/>
    <n v="709"/>
    <s v="Scheduled"/>
    <n v="39.414285714285711"/>
    <n v="35123.172500000001"/>
    <n v="0"/>
    <m/>
    <n v="0"/>
    <n v="0"/>
    <s v="Trinity to 100 East 10th Street"/>
    <n v="13.5"/>
    <m/>
    <m/>
  </r>
  <r>
    <n v="15"/>
    <m/>
    <m/>
    <x v="180"/>
    <x v="0"/>
    <s v="100 East 10th Street"/>
    <n v="476.45000000000005"/>
    <n v="468.45000000000005"/>
    <n v="5"/>
    <n v="714"/>
    <s v="Scheduled"/>
    <n v="93.690000000000012"/>
    <n v="35591.622499999998"/>
    <n v="0"/>
    <m/>
    <n v="0"/>
    <n v="0"/>
    <s v="Trinity to 100 East 10th Street"/>
    <n v="13.5"/>
    <m/>
    <m/>
  </r>
  <r>
    <n v="15"/>
    <m/>
    <m/>
    <x v="181"/>
    <x v="3"/>
    <s v="100 East 10th Street"/>
    <n v="217.02"/>
    <n v="209.02"/>
    <n v="4"/>
    <n v="718"/>
    <s v="Scheduled"/>
    <n v="52.255000000000003"/>
    <n v="35800.642499999994"/>
    <n v="0"/>
    <m/>
    <n v="30.14"/>
    <n v="0"/>
    <s v="Trinity to 100 East 10th Street"/>
    <n v="13.5"/>
    <m/>
    <m/>
  </r>
  <r>
    <n v="17"/>
    <m/>
    <m/>
    <x v="182"/>
    <x v="0"/>
    <s v="100 East 10th Street"/>
    <n v="412.96000000000004"/>
    <n v="404.96000000000004"/>
    <n v="10"/>
    <n v="728"/>
    <s v="Scheduled"/>
    <n v="40.496000000000002"/>
    <n v="36205.602499999994"/>
    <n v="0"/>
    <m/>
    <n v="0"/>
    <n v="0"/>
    <s v="Trinity to 100 East 10th Street"/>
    <n v="13.5"/>
    <m/>
    <m/>
  </r>
  <r>
    <n v="18"/>
    <m/>
    <m/>
    <x v="183"/>
    <x v="4"/>
    <s v="100 East 10th Street"/>
    <n v="401.98"/>
    <n v="393.98"/>
    <n v="8"/>
    <n v="736"/>
    <s v="Scheduled"/>
    <n v="49.247500000000002"/>
    <n v="36599.582499999997"/>
    <n v="0"/>
    <m/>
    <n v="0"/>
    <n v="0"/>
    <s v="Trinity to 100 East 10th Street"/>
    <n v="13.5"/>
    <m/>
    <m/>
  </r>
  <r>
    <n v="19"/>
    <m/>
    <m/>
    <x v="184"/>
    <x v="5"/>
    <s v="100 East 10th Street"/>
    <n v="369.20000000000005"/>
    <n v="361.20000000000005"/>
    <n v="8"/>
    <n v="744"/>
    <s v="Scheduled"/>
    <n v="45.150000000000006"/>
    <n v="36960.782499999994"/>
    <n v="0"/>
    <m/>
    <n v="0"/>
    <n v="0"/>
    <s v="Trinity to 100 East 10th Street"/>
    <n v="13.5"/>
    <m/>
    <m/>
  </r>
  <r>
    <n v="20"/>
    <m/>
    <m/>
    <x v="185"/>
    <x v="5"/>
    <s v="100 East 10th Street"/>
    <n v="399.4"/>
    <n v="391.4"/>
    <n v="7"/>
    <n v="751"/>
    <s v="Scheduled"/>
    <n v="55.914285714285711"/>
    <n v="37352.182499999995"/>
    <n v="391.4"/>
    <d v="2025-05-14T00:00:00"/>
    <n v="0"/>
    <n v="0"/>
    <s v="Trinity to 100 East 10th Street"/>
    <n v="13.5"/>
    <m/>
    <m/>
  </r>
  <r>
    <n v="21"/>
    <m/>
    <m/>
    <x v="186"/>
    <x v="4"/>
    <s v="100 East 10th Street"/>
    <n v="294.32"/>
    <n v="286.32"/>
    <n v="6"/>
    <n v="757"/>
    <s v="Scheduled"/>
    <n v="47.72"/>
    <n v="37638.502499999995"/>
    <n v="0"/>
    <m/>
    <n v="0"/>
    <n v="0"/>
    <s v="Trinity to 100 East 10th Street"/>
    <n v="13.5"/>
    <m/>
    <m/>
  </r>
  <r>
    <n v="22"/>
    <m/>
    <m/>
    <x v="187"/>
    <x v="4"/>
    <s v="100 East 10th Street"/>
    <n v="372.74"/>
    <n v="364.74"/>
    <n v="7"/>
    <n v="764"/>
    <s v="Scheduled"/>
    <n v="52.105714285714285"/>
    <n v="38003.242499999993"/>
    <n v="0"/>
    <m/>
    <n v="0"/>
    <n v="0"/>
    <s v="Home to 100 East 10th Street"/>
    <n v="11.4"/>
    <m/>
    <m/>
  </r>
  <r>
    <n v="23"/>
    <m/>
    <m/>
    <x v="188"/>
    <x v="4"/>
    <s v="100 East 10th Street"/>
    <n v="269.43"/>
    <n v="261.43"/>
    <n v="7"/>
    <n v="771"/>
    <s v="Scheduled"/>
    <n v="37.347142857142856"/>
    <n v="38264.672499999993"/>
    <n v="261.43"/>
    <d v="2025-06-03T00:00:00"/>
    <n v="0"/>
    <n v="0"/>
    <s v="Home to 100 East 10th Street"/>
    <n v="11.4"/>
    <m/>
    <m/>
  </r>
  <r>
    <n v="24"/>
    <m/>
    <m/>
    <x v="189"/>
    <x v="4"/>
    <s v="100 East 10th Street"/>
    <n v="294.12"/>
    <n v="286.12"/>
    <n v="7"/>
    <n v="778"/>
    <s v="Scheduled"/>
    <n v="40.874285714285712"/>
    <n v="38550.792499999996"/>
    <n v="286.12"/>
    <d v="2025-06-10T00:00:00"/>
    <n v="0"/>
    <n v="0"/>
    <s v="Home to 100 East 10th Street"/>
    <n v="11.4"/>
    <m/>
    <m/>
  </r>
  <r>
    <n v="25"/>
    <m/>
    <m/>
    <x v="190"/>
    <x v="5"/>
    <s v="100 East 10th Street"/>
    <n v="395.18"/>
    <n v="387.18"/>
    <n v="8"/>
    <n v="786"/>
    <s v="Scheduled"/>
    <n v="48.397500000000001"/>
    <n v="38937.972499999996"/>
    <n v="0"/>
    <m/>
    <n v="0"/>
    <n v="0"/>
    <s v="Home to 100 East 10th Street"/>
    <n v="11.4"/>
    <m/>
    <m/>
  </r>
  <r>
    <n v="26"/>
    <m/>
    <m/>
    <x v="191"/>
    <x v="5"/>
    <s v="100 East 10th Street"/>
    <n v="361.9"/>
    <n v="353.9"/>
    <n v="7"/>
    <n v="793"/>
    <s v="Scheduled"/>
    <n v="50.557142857142857"/>
    <n v="39291.872499999998"/>
    <n v="0"/>
    <m/>
    <n v="0"/>
    <n v="0"/>
    <s v="Home to 100 East 10th Street"/>
    <n v="11.4"/>
    <m/>
    <m/>
  </r>
  <r>
    <n v="27"/>
    <m/>
    <m/>
    <x v="192"/>
    <x v="4"/>
    <s v="100 East 10th Street"/>
    <n v="92.42"/>
    <n v="84.42"/>
    <n v="6"/>
    <n v="799"/>
    <s v="Scheduled"/>
    <n v="14.07"/>
    <n v="39376.292499999996"/>
    <n v="0"/>
    <m/>
    <n v="0"/>
    <n v="0"/>
    <s v="Home to 100 East 10th Street"/>
    <n v="11.4"/>
    <m/>
    <s v="Last Pickup before program revamp. "/>
  </r>
  <r>
    <n v="48"/>
    <m/>
    <m/>
    <x v="193"/>
    <x v="0"/>
    <s v="100 East 10th Street"/>
    <n v="300.84000000000003"/>
    <n v="292.84000000000003"/>
    <n v="146"/>
    <n v="945"/>
    <s v="Scheduled"/>
    <n v="2.0057534246575344"/>
    <n v="39669.132499999992"/>
    <n v="0"/>
    <m/>
    <n v="15"/>
    <n v="0"/>
    <s v="Home to 100 East 10th Street"/>
    <n v="11.4"/>
    <m/>
    <s v="Resuming program after changing bins and process redesign"/>
  </r>
  <r>
    <n v="49"/>
    <m/>
    <m/>
    <x v="194"/>
    <x v="0"/>
    <s v="100 East 10th Street"/>
    <n v="380.2"/>
    <n v="372.2"/>
    <n v="7"/>
    <n v="952"/>
    <s v="Scheduled"/>
    <n v="53.171428571428571"/>
    <n v="40041.33249999999"/>
    <n v="0"/>
    <m/>
    <n v="0"/>
    <n v="0"/>
    <s v="Trinity to 100 East 10th Street"/>
    <n v="13.5"/>
    <m/>
    <m/>
  </r>
  <r>
    <n v="50"/>
    <m/>
    <m/>
    <x v="195"/>
    <x v="0"/>
    <s v="100 East 10th Street"/>
    <n v="389.28"/>
    <n v="381.28"/>
    <n v="7"/>
    <n v="959"/>
    <s v="Scheduled"/>
    <n v="54.468571428571423"/>
    <n v="40422.612499999988"/>
    <n v="0"/>
    <m/>
    <n v="0"/>
    <n v="0"/>
    <s v="Trinity to 100 East 10th Street"/>
    <n v="13.5"/>
    <m/>
    <m/>
  </r>
  <r>
    <n v="50"/>
    <m/>
    <m/>
    <x v="196"/>
    <x v="3"/>
    <s v="100 East 10th Street"/>
    <n v="293.22000000000003"/>
    <n v="285.22000000000003"/>
    <n v="4"/>
    <n v="963"/>
    <s v="Store"/>
    <n v="71.305000000000007"/>
    <n v="40707.83249999999"/>
    <n v="0"/>
    <m/>
    <n v="11"/>
    <n v="0"/>
    <s v="Trinity to 100 East 10th Street"/>
    <n v="13.5"/>
    <m/>
    <m/>
  </r>
  <r>
    <n v="51"/>
    <m/>
    <m/>
    <x v="197"/>
    <x v="0"/>
    <s v="100 East 10th Street"/>
    <n v="198"/>
    <n v="190"/>
    <n v="3"/>
    <n v="966"/>
    <s v="Scheduled"/>
    <n v="63.333333333333336"/>
    <n v="40897.83249999999"/>
    <n v="0"/>
    <m/>
    <n v="0"/>
    <n v="0"/>
    <s v="Home to 100 East 10th Street"/>
    <n v="11.4"/>
    <m/>
    <m/>
  </r>
  <r>
    <n v="52"/>
    <m/>
    <m/>
    <x v="198"/>
    <x v="0"/>
    <s v="100 East 10th Street"/>
    <n v="365.62"/>
    <n v="357.62"/>
    <n v="7"/>
    <n v="973"/>
    <s v="Scheduled"/>
    <n v="51.088571428571427"/>
    <n v="41255.452499999992"/>
    <n v="0"/>
    <m/>
    <n v="0"/>
    <n v="0"/>
    <s v="Home to 100 East 10th Street"/>
    <n v="11.4"/>
    <m/>
    <m/>
  </r>
  <r>
    <n v="52"/>
    <m/>
    <m/>
    <x v="199"/>
    <x v="2"/>
    <s v="100 East 10th Street"/>
    <n v="145.04"/>
    <n v="137.04"/>
    <n v="5"/>
    <n v="978"/>
    <s v="Store"/>
    <n v="27.407999999999998"/>
    <n v="41392.492499999993"/>
    <n v="0"/>
    <m/>
    <n v="0"/>
    <n v="0"/>
    <s v="Home to 100 East 10th Street"/>
    <n v="11.4"/>
    <m/>
    <m/>
  </r>
  <r>
    <n v="53"/>
    <m/>
    <m/>
    <x v="200"/>
    <x v="0"/>
    <s v="100 East 10th Street"/>
    <n v="205.22"/>
    <n v="197.22"/>
    <n v="2"/>
    <n v="980"/>
    <s v="Scheduled"/>
    <n v="98.61"/>
    <n v="41589.712499999994"/>
    <n v="0"/>
    <m/>
    <n v="18.48"/>
    <n v="0"/>
    <s v="Trinity to 100 East 10th Street"/>
    <n v="13.5"/>
    <m/>
    <m/>
  </r>
  <r>
    <n v="1"/>
    <m/>
    <m/>
    <x v="201"/>
    <x v="0"/>
    <s v="100 East 10th Street"/>
    <n v="326.39999999999998"/>
    <n v="318.39999999999998"/>
    <n v="7"/>
    <n v="987"/>
    <s v="Scheduled"/>
    <n v="45.48571428571428"/>
    <n v="58635.442500000005"/>
    <n v="0"/>
    <m/>
    <n v="0"/>
    <n v="0"/>
    <s v="Trinity to 100 East 10th Street"/>
    <n v="13.5"/>
    <m/>
    <m/>
  </r>
  <r>
    <n v="2"/>
    <m/>
    <m/>
    <x v="202"/>
    <x v="0"/>
    <s v="Greenville Blvd &amp; Red Banks Rd"/>
    <n v="131.54"/>
    <n v="123.53999999999999"/>
    <n v="7"/>
    <n v="994"/>
    <s v="Scheduled"/>
    <n v="17.648571428571426"/>
    <n v="42031.652499999997"/>
    <n v="0"/>
    <m/>
    <n v="12.68"/>
    <n v="0"/>
    <s v="Home to Red Banks"/>
    <n v="7.5"/>
    <m/>
    <m/>
  </r>
  <r>
    <n v="2"/>
    <m/>
    <m/>
    <x v="202"/>
    <x v="0"/>
    <s v="100 East 10th Street"/>
    <n v="345.44"/>
    <n v="337.44"/>
    <n v="7"/>
    <n v="994"/>
    <s v="Scheduled"/>
    <n v="48.205714285714286"/>
    <n v="42369.092499999999"/>
    <n v="0"/>
    <m/>
    <n v="0"/>
    <n v="0"/>
    <s v="Red Banks to 10th Street"/>
    <n v="1.9"/>
    <m/>
    <m/>
  </r>
  <r>
    <n v="2"/>
    <m/>
    <m/>
    <x v="202"/>
    <x v="0"/>
    <s v="Stanton Sq &amp; Arlington Dr"/>
    <n v="59.78"/>
    <n v="51.78"/>
    <n v="7"/>
    <n v="994"/>
    <s v="Scheduled"/>
    <n v="7.3971428571428577"/>
    <n v="42420.872499999998"/>
    <n v="0"/>
    <m/>
    <n v="3"/>
    <n v="0"/>
    <s v="10th St to Stanton to Home"/>
    <n v="13.7"/>
    <m/>
    <m/>
  </r>
  <r>
    <n v="4"/>
    <m/>
    <m/>
    <x v="203"/>
    <x v="0"/>
    <s v="Greenville Blvd &amp; Red Banks Rd"/>
    <n v="224.56"/>
    <n v="216.56"/>
    <n v="7"/>
    <n v="1001"/>
    <s v="Scheduled"/>
    <n v="30.937142857142856"/>
    <n v="42637.432499999995"/>
    <n v="0"/>
    <m/>
    <n v="0"/>
    <n v="0"/>
    <s v="Home to Red Banks"/>
    <n v="7.5"/>
    <m/>
    <m/>
  </r>
  <r>
    <n v="4"/>
    <m/>
    <m/>
    <x v="203"/>
    <x v="0"/>
    <s v="100 East 10th Street"/>
    <n v="426.98"/>
    <n v="418.98"/>
    <n v="7"/>
    <n v="1001"/>
    <s v="Scheduled"/>
    <n v="59.854285714285716"/>
    <n v="43056.412499999999"/>
    <n v="0"/>
    <m/>
    <n v="4.3"/>
    <n v="0"/>
    <s v="Red Banks to 10th Street"/>
    <n v="1.9"/>
    <m/>
    <m/>
  </r>
  <r>
    <n v="4"/>
    <m/>
    <m/>
    <x v="203"/>
    <x v="0"/>
    <s v="Stanton Sq &amp; Arlington Dr"/>
    <n v="378.88"/>
    <n v="370.88"/>
    <n v="7"/>
    <n v="1001"/>
    <s v="Scheduled"/>
    <n v="52.982857142857142"/>
    <n v="43427.292499999996"/>
    <n v="0"/>
    <m/>
    <n v="0"/>
    <n v="0"/>
    <s v="10th St to Stanton to Home"/>
    <n v="13.7"/>
    <m/>
    <m/>
  </r>
  <r>
    <n v="5"/>
    <m/>
    <m/>
    <x v="204"/>
    <x v="0"/>
    <s v="Greenville Blvd &amp; Red Banks Rd"/>
    <n v="248.76"/>
    <n v="240.76"/>
    <n v="7"/>
    <n v="1008"/>
    <s v="Scheduled"/>
    <n v="34.394285714285715"/>
    <n v="43668.052499999998"/>
    <n v="0"/>
    <m/>
    <n v="0"/>
    <n v="0"/>
    <s v="Home to Red Banks"/>
    <n v="7.5"/>
    <m/>
    <m/>
  </r>
  <r>
    <n v="5"/>
    <m/>
    <m/>
    <x v="205"/>
    <x v="0"/>
    <s v="100 East 10th Street"/>
    <n v="388.78"/>
    <n v="380.78"/>
    <n v="7"/>
    <n v="1008"/>
    <s v="Scheduled"/>
    <n v="54.397142857142853"/>
    <n v="44048.832499999997"/>
    <n v="0"/>
    <m/>
    <n v="13.36"/>
    <n v="0"/>
    <s v="Red Banks to 10th Street"/>
    <n v="1.9"/>
    <m/>
    <m/>
  </r>
  <r>
    <n v="5"/>
    <m/>
    <m/>
    <x v="205"/>
    <x v="0"/>
    <s v="Stanton Sq &amp; Arlington Dr"/>
    <n v="148.88"/>
    <n v="140.88"/>
    <n v="7"/>
    <n v="1008"/>
    <s v="Scheduled"/>
    <n v="20.125714285714285"/>
    <n v="44189.712499999994"/>
    <n v="0"/>
    <m/>
    <n v="0"/>
    <n v="0"/>
    <s v="10th St to Stanton to Home"/>
    <n v="13.7"/>
    <m/>
    <m/>
  </r>
  <r>
    <n v="6"/>
    <m/>
    <m/>
    <x v="206"/>
    <x v="0"/>
    <s v="Greenville Blvd &amp; Red Banks Rd"/>
    <n v="248.48"/>
    <n v="240.48"/>
    <n v="7"/>
    <n v="1015"/>
    <s v="Scheduled"/>
    <n v="34.354285714285716"/>
    <n v="44430.192499999997"/>
    <n v="0"/>
    <m/>
    <n v="0"/>
    <n v="0"/>
    <s v="Home to Red Banks"/>
    <n v="7.5"/>
    <m/>
    <s v="Store closed early at 4pm due to the 10in of snow"/>
  </r>
  <r>
    <n v="6"/>
    <m/>
    <m/>
    <x v="206"/>
    <x v="0"/>
    <s v="100 East 10th Street"/>
    <n v="204.88"/>
    <n v="196.88"/>
    <n v="7"/>
    <n v="1015"/>
    <s v="Scheduled"/>
    <n v="28.125714285714285"/>
    <n v="44627.072499999995"/>
    <n v="0"/>
    <m/>
    <n v="0"/>
    <n v="0"/>
    <s v="Red Banks to 10th Street"/>
    <n v="1.9"/>
    <m/>
    <s v="Store was closed for the day due to snow storm. Wasn't able to haul one bin because it was inside of the store. Dropped off 2 fresh bins, will pick up the 3rd bin next Mon."/>
  </r>
  <r>
    <n v="6"/>
    <m/>
    <m/>
    <x v="206"/>
    <x v="0"/>
    <s v="Stanton Sq &amp; Arlington Dr"/>
    <n v="437.3"/>
    <n v="429.3"/>
    <n v="7"/>
    <n v="1015"/>
    <s v="Scheduled"/>
    <n v="61.328571428571429"/>
    <n v="45056.372499999998"/>
    <n v="0"/>
    <m/>
    <n v="0"/>
    <n v="0"/>
    <s v="10th St to Stanton to Home"/>
    <n v="13.7"/>
    <m/>
    <s v="Store was closed for the day due to snow storm. Both bins had over 200lbs in them. Needed to spread out scg to one of the fresh bins because they were too heavy. Will drop off 2nd, empty bin later in the week"/>
  </r>
  <r>
    <n v="6"/>
    <m/>
    <m/>
    <x v="207"/>
    <x v="5"/>
    <s v="Stanton Sq &amp; Arlington Dr"/>
    <n v="54.92"/>
    <n v="46.92"/>
    <n v="2"/>
    <n v="1017"/>
    <s v="Me"/>
    <n v="23.46"/>
    <n v="45103.292499999996"/>
    <n v="0"/>
    <m/>
    <n v="0"/>
    <n v="0"/>
    <m/>
    <n v="12.2"/>
    <m/>
    <s v="Dropped off 2 empty bins and recovered the bin I dropped off on Mon. "/>
  </r>
  <r>
    <n v="7"/>
    <m/>
    <m/>
    <x v="208"/>
    <x v="0"/>
    <s v="Greenville Blvd &amp; Red Banks Rd"/>
    <n v="248.16"/>
    <n v="240.16"/>
    <n v="7"/>
    <n v="1022"/>
    <s v="Scheduled"/>
    <n v="34.308571428571426"/>
    <n v="45343.452499999999"/>
    <n v="0"/>
    <m/>
    <n v="8.32"/>
    <n v="0"/>
    <s v="Home to Red Banks"/>
    <n v="7.5"/>
    <m/>
    <m/>
  </r>
  <r>
    <n v="7"/>
    <m/>
    <m/>
    <x v="208"/>
    <x v="0"/>
    <s v="100 East 10th Street"/>
    <n v="508.85999999999996"/>
    <n v="500.85999999999996"/>
    <n v="7"/>
    <n v="1022"/>
    <s v="Scheduled"/>
    <n v="71.551428571428559"/>
    <n v="45844.3125"/>
    <n v="0"/>
    <m/>
    <n v="21.18"/>
    <n v="0"/>
    <s v="Home to 100 East 10th Street"/>
    <n v="7.7"/>
    <m/>
    <s v="3 bins; 3rd bin leftover from the snowstorm last week"/>
  </r>
  <r>
    <n v="7"/>
    <m/>
    <m/>
    <x v="208"/>
    <x v="0"/>
    <s v="Stanton Sq &amp; Arlington Dr"/>
    <n v="313.12"/>
    <n v="305.12"/>
    <n v="5"/>
    <n v="1022"/>
    <s v="Scheduled"/>
    <n v="61.024000000000001"/>
    <n v="46149.432500000003"/>
    <n v="0"/>
    <m/>
    <n v="0"/>
    <n v="0"/>
    <m/>
    <n v="15"/>
    <m/>
    <m/>
  </r>
  <r>
    <n v="8"/>
    <m/>
    <m/>
    <x v="209"/>
    <x v="0"/>
    <s v="Greenville Blvd &amp; Red Banks Rd"/>
    <n v="186.6"/>
    <n v="178.6"/>
    <n v="7"/>
    <n v="1029"/>
    <s v="Scheduled"/>
    <n v="25.514285714285712"/>
    <n v="46328.032500000001"/>
    <n v="0"/>
    <m/>
    <n v="0"/>
    <n v="0"/>
    <s v="Home to Red Banks"/>
    <n v="7.5"/>
    <m/>
    <m/>
  </r>
  <r>
    <n v="8"/>
    <m/>
    <m/>
    <x v="209"/>
    <x v="0"/>
    <s v="100 East 10th Street"/>
    <n v="373.56"/>
    <n v="365.56"/>
    <n v="7"/>
    <n v="1029"/>
    <s v="Scheduled"/>
    <n v="52.222857142857144"/>
    <n v="46693.592499999999"/>
    <n v="0"/>
    <m/>
    <n v="2.1800000000000002"/>
    <n v="0"/>
    <s v="Red Banks to 10th Street"/>
    <n v="1.9"/>
    <m/>
    <m/>
  </r>
  <r>
    <n v="8"/>
    <m/>
    <m/>
    <x v="209"/>
    <x v="0"/>
    <s v="Stanton Sq &amp; Arlington Dr"/>
    <n v="497.26"/>
    <n v="489.26"/>
    <n v="7"/>
    <n v="1029"/>
    <s v="Scheduled"/>
    <n v="69.894285714285715"/>
    <n v="47182.852500000001"/>
    <n v="0"/>
    <m/>
    <n v="0"/>
    <n v="0"/>
    <s v="10th St to Stanton to Home"/>
    <n v="13.7"/>
    <m/>
    <m/>
  </r>
  <r>
    <n v="9"/>
    <m/>
    <m/>
    <x v="210"/>
    <x v="0"/>
    <s v="Greenville Blvd &amp; Red Banks Rd"/>
    <n v="294.18"/>
    <n v="286.18"/>
    <n v="7"/>
    <n v="1036"/>
    <s v="Scheduled"/>
    <n v="40.882857142857141"/>
    <n v="47469.032500000001"/>
    <n v="0"/>
    <m/>
    <n v="0"/>
    <n v="0"/>
    <s v="Home to Red Banks"/>
    <n v="7.5"/>
    <m/>
    <m/>
  </r>
  <r>
    <n v="9"/>
    <m/>
    <m/>
    <x v="210"/>
    <x v="0"/>
    <s v="100 East 10th Street"/>
    <n v="422.36"/>
    <n v="414.36"/>
    <n v="7"/>
    <n v="1036"/>
    <s v="Scheduled"/>
    <n v="59.194285714285719"/>
    <n v="47883.392500000002"/>
    <n v="0"/>
    <m/>
    <n v="17.8"/>
    <n v="0"/>
    <s v="Red Banks to 10th Street"/>
    <n v="1.9"/>
    <m/>
    <s v="Over bin capacity, some grounds had to be thrown away. Will add 3rd bin."/>
  </r>
  <r>
    <n v="9"/>
    <m/>
    <m/>
    <x v="210"/>
    <x v="0"/>
    <s v="Stanton Sq &amp; Arlington Dr"/>
    <n v="471.72"/>
    <n v="463.72"/>
    <n v="7"/>
    <n v="1036"/>
    <s v="Scheduled"/>
    <n v="66.245714285714286"/>
    <n v="48347.112500000003"/>
    <n v="0"/>
    <m/>
    <n v="0"/>
    <n v="0"/>
    <s v="10th St to Stanton to Home"/>
    <n v="13.7"/>
    <m/>
    <s v="Over bin capacity, some grounds had to be thrown away. Added 3rd bin."/>
  </r>
  <r>
    <n v="9"/>
    <m/>
    <m/>
    <x v="211"/>
    <x v="2"/>
    <s v="100 East 10th Street"/>
    <n v="361.18"/>
    <n v="353.18"/>
    <n v="5"/>
    <n v="1041"/>
    <s v="Store"/>
    <n v="70.635999999999996"/>
    <n v="48700.292500000003"/>
    <n v="0"/>
    <m/>
    <n v="9.2200000000000006"/>
    <n v="0"/>
    <s v="Home to 100 East 10th Street"/>
    <n v="11.4"/>
    <m/>
    <s v="Reached capacity before the next pickup day. Will return the following Mon"/>
  </r>
  <r>
    <n v="9"/>
    <m/>
    <m/>
    <x v="211"/>
    <x v="2"/>
    <s v="Stanton Sq &amp; Arlington Dr"/>
    <n v="358.41999999999996"/>
    <n v="350.41999999999996"/>
    <n v="5"/>
    <n v="1041"/>
    <s v="Me"/>
    <n v="70.083999999999989"/>
    <n v="49050.712500000001"/>
    <n v="0"/>
    <m/>
    <n v="0"/>
    <n v="0"/>
    <s v="10th St to Stanton to Home"/>
    <n v="13.7"/>
    <m/>
    <m/>
  </r>
  <r>
    <n v="10"/>
    <m/>
    <m/>
    <x v="212"/>
    <x v="0"/>
    <s v="Greenville Blvd &amp; Red Banks Rd"/>
    <n v="268.68"/>
    <n v="260.68"/>
    <n v="7"/>
    <n v="1043"/>
    <s v="Scheduled"/>
    <n v="37.24"/>
    <n v="58635.442500000005"/>
    <n v="0"/>
    <m/>
    <n v="0"/>
    <n v="0"/>
    <s v="Home to Red Banks"/>
    <n v="7.5"/>
    <m/>
    <m/>
  </r>
  <r>
    <n v="11"/>
    <m/>
    <m/>
    <x v="213"/>
    <x v="0"/>
    <s v="Greenville Blvd &amp; Red Banks Rd"/>
    <n v="211.49"/>
    <n v="203.49"/>
    <n v="7"/>
    <n v="1050"/>
    <s v="Scheduled"/>
    <n v="29.07"/>
    <n v="49514.8825"/>
    <n v="0"/>
    <m/>
    <n v="0"/>
    <n v="0"/>
    <s v="Home to Red Banks"/>
    <n v="7.5"/>
    <m/>
    <m/>
  </r>
  <r>
    <n v="11"/>
    <m/>
    <m/>
    <x v="213"/>
    <x v="0"/>
    <s v="Stanton Sq &amp; Arlington Dr"/>
    <n v="527.48"/>
    <n v="519.48"/>
    <n v="9"/>
    <n v="1050"/>
    <s v="Scheduled"/>
    <n v="57.72"/>
    <n v="50034.362500000003"/>
    <n v="0"/>
    <m/>
    <n v="0"/>
    <n v="0"/>
    <s v="10th St to Stanton to Home"/>
    <n v="13.7"/>
    <m/>
    <m/>
  </r>
  <r>
    <n v="11"/>
    <m/>
    <m/>
    <x v="213"/>
    <x v="0"/>
    <s v="100 East 10th Street"/>
    <n v="457.5"/>
    <n v="449.5"/>
    <n v="9"/>
    <n v="1050"/>
    <s v="Scheduled"/>
    <n v="49.944444444444443"/>
    <n v="50483.862500000003"/>
    <n v="0"/>
    <m/>
    <n v="0"/>
    <n v="0"/>
    <s v="Home to 100 East 10th Street"/>
    <n v="11.4"/>
    <m/>
    <m/>
  </r>
  <r>
    <n v="12"/>
    <m/>
    <m/>
    <x v="214"/>
    <x v="0"/>
    <s v="100 East 10th Street"/>
    <n v="295.38"/>
    <n v="287.38"/>
    <n v="7"/>
    <n v="1057"/>
    <s v="Scheduled"/>
    <n v="41.054285714285712"/>
    <n v="50771.2425"/>
    <n v="80.34"/>
    <d v="2026-03-18T00:00:00"/>
    <n v="2"/>
    <n v="0"/>
    <s v="Home to 100 East 10th Street"/>
    <n v="5.9"/>
    <m/>
    <m/>
  </r>
  <r>
    <n v="12"/>
    <m/>
    <m/>
    <x v="214"/>
    <x v="0"/>
    <s v="Stanton Sq &amp; Arlington Dr"/>
    <n v="313.06"/>
    <n v="305.06"/>
    <n v="7"/>
    <n v="1057"/>
    <s v="Scheduled"/>
    <n v="43.58"/>
    <n v="51076.302499999998"/>
    <n v="0"/>
    <m/>
    <n v="0"/>
    <n v="0"/>
    <s v="10th Street to Stanton Sq"/>
    <n v="2.4"/>
    <m/>
    <m/>
  </r>
  <r>
    <n v="12"/>
    <m/>
    <m/>
    <x v="214"/>
    <x v="0"/>
    <s v="Greenville Blvd &amp; Red Banks Rd"/>
    <n v="254.82"/>
    <n v="246.82"/>
    <n v="7"/>
    <n v="1057"/>
    <s v="Scheduled"/>
    <n v="35.26"/>
    <n v="51323.122499999998"/>
    <n v="102"/>
    <d v="2026-03-18T00:00:00"/>
    <n v="0"/>
    <n v="0"/>
    <s v="Stanton to Red Banks to home"/>
    <n v="10.8"/>
    <m/>
    <m/>
  </r>
  <r>
    <n v="13"/>
    <m/>
    <m/>
    <x v="215"/>
    <x v="6"/>
    <s v="100 East 10th Street"/>
    <n v="377.42"/>
    <n v="369.42"/>
    <n v="6"/>
    <n v="1063"/>
    <s v="Store"/>
    <n v="61.57"/>
    <n v="58635.442500000005"/>
    <n v="0"/>
    <m/>
    <n v="0"/>
    <n v="0"/>
    <s v="Home to 100 East 10th Street"/>
    <n v="11.4"/>
    <m/>
    <m/>
  </r>
  <r>
    <n v="13"/>
    <m/>
    <m/>
    <x v="216"/>
    <x v="0"/>
    <s v="Greenville Blvd &amp; Red Banks Rd"/>
    <n v="227.62"/>
    <n v="219.62"/>
    <n v="7"/>
    <n v="1064"/>
    <s v="Scheduled"/>
    <n v="31.374285714285715"/>
    <n v="51912.162499999999"/>
    <n v="0"/>
    <m/>
    <n v="0"/>
    <n v="0"/>
    <s v="Home to Red Banks"/>
    <n v="7.5"/>
    <m/>
    <m/>
  </r>
  <r>
    <n v="13"/>
    <m/>
    <m/>
    <x v="216"/>
    <x v="0"/>
    <s v="Stanton Sq &amp; Arlington Dr"/>
    <n v="406.3"/>
    <n v="398.3"/>
    <n v="7"/>
    <n v="1064"/>
    <s v="Scheduled"/>
    <n v="56.9"/>
    <n v="52310.462500000001"/>
    <n v="0"/>
    <m/>
    <n v="0"/>
    <n v="0"/>
    <s v="Red Banks to Stanton to Home"/>
    <n v="10.6"/>
    <m/>
    <m/>
  </r>
  <r>
    <n v="14"/>
    <m/>
    <m/>
    <x v="217"/>
    <x v="0"/>
    <s v="Greenville Blvd &amp; Red Banks Rd"/>
    <n v="247.40000000000003"/>
    <n v="239.40000000000003"/>
    <n v="7"/>
    <n v="1071"/>
    <s v="Scheduled"/>
    <n v="34.200000000000003"/>
    <n v="52549.862500000003"/>
    <n v="0"/>
    <m/>
    <n v="0"/>
    <n v="0"/>
    <s v="Home to Red Banks"/>
    <n v="7.5"/>
    <m/>
    <m/>
  </r>
  <r>
    <n v="14"/>
    <m/>
    <m/>
    <x v="217"/>
    <x v="0"/>
    <s v="100 East 10th Street"/>
    <n v="595.07999999999993"/>
    <n v="587.07999999999993"/>
    <n v="7"/>
    <n v="1071"/>
    <s v="Scheduled"/>
    <n v="83.868571428571414"/>
    <n v="53136.942500000005"/>
    <n v="0"/>
    <m/>
    <n v="0"/>
    <n v="0"/>
    <s v="Red Banks to 10th to Home"/>
    <n v="7.7"/>
    <m/>
    <m/>
  </r>
  <r>
    <n v="14"/>
    <m/>
    <m/>
    <x v="217"/>
    <x v="0"/>
    <s v="Stanton Sq &amp; Arlington Dr"/>
    <n v="380.65999999999997"/>
    <n v="372.65999999999997"/>
    <n v="7"/>
    <n v="1071"/>
    <s v="Scheduled"/>
    <n v="53.23714285714285"/>
    <n v="53509.602500000008"/>
    <n v="0"/>
    <m/>
    <n v="0"/>
    <n v="0"/>
    <s v="Home to Stanton - Roundtrip"/>
    <n v="14.5"/>
    <m/>
    <m/>
  </r>
  <r>
    <n v="15"/>
    <m/>
    <m/>
    <x v="218"/>
    <x v="0"/>
    <s v="Greenville Blvd &amp; Red Banks Rd"/>
    <n v="244.56"/>
    <n v="236.56"/>
    <n v="7"/>
    <n v="1078"/>
    <s v="Scheduled"/>
    <n v="33.794285714285714"/>
    <n v="53746.162500000006"/>
    <n v="0"/>
    <m/>
    <n v="0"/>
    <n v="0"/>
    <s v="Home to Red Banks"/>
    <n v="7.5"/>
    <m/>
    <m/>
  </r>
  <r>
    <n v="15"/>
    <m/>
    <m/>
    <x v="218"/>
    <x v="0"/>
    <s v="100 East 10th Street"/>
    <n v="405.96000000000004"/>
    <n v="397.96000000000004"/>
    <n v="7"/>
    <n v="1078"/>
    <s v="Scheduled"/>
    <n v="56.851428571428578"/>
    <n v="54144.122500000005"/>
    <n v="0"/>
    <m/>
    <n v="0"/>
    <n v="0"/>
    <s v="Red Banks to 10th to Home"/>
    <n v="7.7"/>
    <m/>
    <m/>
  </r>
  <r>
    <n v="15"/>
    <m/>
    <m/>
    <x v="218"/>
    <x v="0"/>
    <s v="Stanton Sq &amp; Arlington Dr"/>
    <n v="341.62"/>
    <n v="333.62"/>
    <n v="7"/>
    <n v="1078"/>
    <s v="Scheduled"/>
    <n v="47.660000000000004"/>
    <n v="54477.742500000008"/>
    <n v="0"/>
    <m/>
    <n v="0"/>
    <n v="0"/>
    <s v="Home to Stanton - Roundtrip"/>
    <n v="14.5"/>
    <m/>
    <m/>
  </r>
  <r>
    <n v="16"/>
    <m/>
    <m/>
    <x v="219"/>
    <x v="0"/>
    <s v="Greenville Blvd &amp; Red Banks Rd"/>
    <n v="201.5"/>
    <n v="193.5"/>
    <n v="7"/>
    <n v="1085"/>
    <s v="Scheduled"/>
    <n v="27.642857142857142"/>
    <n v="54671.242500000008"/>
    <n v="0"/>
    <m/>
    <n v="0"/>
    <n v="0"/>
    <s v="Home to Red Banks"/>
    <n v="7.5"/>
    <m/>
    <m/>
  </r>
  <r>
    <n v="16"/>
    <m/>
    <m/>
    <x v="219"/>
    <x v="0"/>
    <s v="100 East 10th Street"/>
    <n v="414.9"/>
    <n v="406.9"/>
    <n v="7"/>
    <n v="1085"/>
    <s v="Scheduled"/>
    <n v="58.128571428571426"/>
    <n v="55078.142500000009"/>
    <n v="0"/>
    <m/>
    <n v="15.54"/>
    <n v="0"/>
    <s v="Red Banks to 10th to Home"/>
    <n v="7.7"/>
    <m/>
    <m/>
  </r>
  <r>
    <n v="16"/>
    <m/>
    <m/>
    <x v="219"/>
    <x v="0"/>
    <s v="Stanton Sq &amp; Arlington Dr"/>
    <n v="453.74"/>
    <n v="445.74"/>
    <n v="7"/>
    <n v="1085"/>
    <s v="Scheduled"/>
    <n v="63.677142857142861"/>
    <n v="55523.882500000007"/>
    <n v="0"/>
    <m/>
    <n v="0"/>
    <n v="0"/>
    <s v="Home to Stanton - Roundtrip"/>
    <n v="14.5"/>
    <n v="49985"/>
    <m/>
  </r>
  <r>
    <n v="17"/>
    <m/>
    <m/>
    <x v="220"/>
    <x v="0"/>
    <s v="100 East 10th Street"/>
    <n v="490.96"/>
    <n v="482.96"/>
    <n v="7"/>
    <n v="1092"/>
    <s v="Scheduled"/>
    <n v="68.994285714285709"/>
    <n v="56006.842500000006"/>
    <n v="0"/>
    <m/>
    <n v="2"/>
    <n v="0"/>
    <s v="Home to 10th"/>
    <n v="6.9"/>
    <m/>
    <m/>
  </r>
  <r>
    <n v="17"/>
    <m/>
    <m/>
    <x v="220"/>
    <x v="0"/>
    <s v="Greenville Blvd &amp; Red Banks Rd"/>
    <n v="249.07999999999998"/>
    <n v="241.07999999999998"/>
    <n v="7"/>
    <n v="1092"/>
    <s v="Scheduled"/>
    <n v="34.44"/>
    <n v="56247.922500000008"/>
    <n v="0"/>
    <m/>
    <n v="0"/>
    <n v="0"/>
    <s v="10th to Red Banks to Home"/>
    <n v="9.3000000000000007"/>
    <m/>
    <m/>
  </r>
  <r>
    <n v="17"/>
    <m/>
    <m/>
    <x v="220"/>
    <x v="0"/>
    <s v="Stanton Sq &amp; Arlington Dr"/>
    <n v="480.17999999999995"/>
    <n v="472.17999999999995"/>
    <n v="7"/>
    <n v="1092"/>
    <s v="Scheduled"/>
    <n v="67.454285714285703"/>
    <n v="56720.102500000008"/>
    <n v="0"/>
    <m/>
    <n v="0"/>
    <n v="0"/>
    <s v="Home to Stanton - Roundtrip"/>
    <n v="14.5"/>
    <n v="50180"/>
    <m/>
  </r>
  <r>
    <n v="18"/>
    <m/>
    <m/>
    <x v="221"/>
    <x v="0"/>
    <s v="Greenville Blvd &amp; Red Banks Rd"/>
    <n v="224.86"/>
    <n v="216.86"/>
    <n v="7"/>
    <n v="1099"/>
    <s v="Scheduled"/>
    <n v="30.98"/>
    <n v="56936.962500000009"/>
    <n v="0"/>
    <m/>
    <n v="0"/>
    <n v="0"/>
    <s v="Home to 10th"/>
    <n v="6.9"/>
    <m/>
    <m/>
  </r>
  <r>
    <n v="18"/>
    <m/>
    <m/>
    <x v="221"/>
    <x v="0"/>
    <s v="100 East 10th Street"/>
    <n v="377.84"/>
    <n v="369.84"/>
    <n v="7"/>
    <n v="1099"/>
    <s v="Scheduled"/>
    <n v="52.834285714285713"/>
    <n v="57306.802500000005"/>
    <n v="0"/>
    <m/>
    <n v="2"/>
    <n v="0"/>
    <s v="10th to Red Banks to Home"/>
    <n v="9.3000000000000007"/>
    <m/>
    <m/>
  </r>
  <r>
    <n v="18"/>
    <m/>
    <m/>
    <x v="221"/>
    <x v="0"/>
    <s v="Stanton Sq &amp; Arlington Dr"/>
    <n v="312.74"/>
    <n v="304.74"/>
    <n v="7"/>
    <n v="1099"/>
    <s v="Scheduled"/>
    <n v="43.534285714285716"/>
    <n v="57611.542500000003"/>
    <n v="0"/>
    <m/>
    <n v="0"/>
    <n v="0"/>
    <s v="Home to Stanton - Roundtrip"/>
    <n v="14.5"/>
    <m/>
    <m/>
  </r>
  <r>
    <n v="19"/>
    <m/>
    <m/>
    <x v="222"/>
    <x v="0"/>
    <s v="Greenville Blvd &amp; Red Banks Rd"/>
    <n v="269.86"/>
    <n v="261.86"/>
    <n v="7"/>
    <n v="1106"/>
    <s v="Scheduled"/>
    <n v="37.408571428571427"/>
    <n v="57873.402500000004"/>
    <n v="261.86"/>
    <d v="2026-05-06T00:00:00"/>
    <n v="0"/>
    <n v="0"/>
    <s v="Home to Red Banks"/>
    <n v="7.5"/>
    <m/>
    <m/>
  </r>
  <r>
    <n v="19"/>
    <m/>
    <m/>
    <x v="222"/>
    <x v="0"/>
    <s v="100 East 10th Street"/>
    <n v="511.45999999999992"/>
    <n v="503.45999999999992"/>
    <n v="7"/>
    <n v="1106"/>
    <s v="Scheduled"/>
    <n v="71.922857142857126"/>
    <n v="58376.862500000003"/>
    <n v="0"/>
    <m/>
    <n v="16.88"/>
    <n v="0"/>
    <s v="Red Banks to 10th Street"/>
    <n v="1.9"/>
    <m/>
    <m/>
  </r>
  <r>
    <n v="19"/>
    <m/>
    <m/>
    <x v="222"/>
    <x v="0"/>
    <s v="Stanton Sq &amp; Arlington Dr"/>
    <n v="266.58"/>
    <n v="258.58"/>
    <n v="7"/>
    <n v="1106"/>
    <s v="Scheduled"/>
    <n v="36.94"/>
    <n v="58635.442500000005"/>
    <n v="258.58"/>
    <d v="2026-05-06T00:00:00"/>
    <n v="0"/>
    <n v="0"/>
    <s v="Home to Stanton - Roundtrip"/>
    <n v="14.5"/>
    <n v="5092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
  <r>
    <x v="0"/>
    <n v="30"/>
    <d v="2023-07-25T00:00:00"/>
    <d v="2023-04-24T00:00:00"/>
    <s v="Monday"/>
    <s v="100 East 10th Street"/>
    <n v="59.6"/>
    <n v="51.6"/>
    <m/>
    <n v="0"/>
    <s v="Scheduled"/>
    <n v="51.6"/>
    <n v="51.6"/>
  </r>
  <r>
    <x v="0"/>
    <n v="30"/>
    <d v="2023-07-28T00:00:00"/>
    <d v="2023-04-27T00:00:00"/>
    <s v="Thursday"/>
    <s v="100 East 10th Street"/>
    <n v="97.1"/>
    <n v="89.1"/>
    <n v="3"/>
    <n v="3"/>
    <s v="Store"/>
    <n v="29.7"/>
    <n v="140.69999999999999"/>
  </r>
  <r>
    <x v="1"/>
    <n v="31"/>
    <d v="2023-08-04T00:00:00"/>
    <d v="2023-05-04T00:00:00"/>
    <s v="Thursday"/>
    <s v="100 East 10th Street"/>
    <n v="141.30000000000001"/>
    <n v="133.30000000000001"/>
    <n v="7"/>
    <n v="10"/>
    <s v="Store"/>
    <n v="19.042857142857144"/>
    <n v="274"/>
  </r>
  <r>
    <x v="1"/>
    <n v="32"/>
    <d v="2023-08-06T00:00:00"/>
    <d v="2023-05-06T00:00:00"/>
    <s v="Saturday"/>
    <s v="100 East 10th Street"/>
    <n v="70.599999999999994"/>
    <n v="62.599999999999994"/>
    <n v="2"/>
    <n v="12"/>
    <s v="Store"/>
    <n v="31.299999999999997"/>
    <n v="336.6"/>
  </r>
  <r>
    <x v="2"/>
    <n v="32"/>
    <d v="2023-08-12T00:00:00"/>
    <d v="2023-05-12T00:00:00"/>
    <s v="Friday"/>
    <s v="100 East 10th Street"/>
    <n v="136.4"/>
    <n v="128.4"/>
    <n v="6"/>
    <n v="18"/>
    <s v="Store"/>
    <n v="21.400000000000002"/>
    <n v="465"/>
  </r>
  <r>
    <x v="3"/>
    <n v="33"/>
    <d v="2023-08-15T00:00:00"/>
    <d v="2023-05-15T00:00:00"/>
    <s v="Monday"/>
    <s v="100 East 10th Street"/>
    <n v="79.5"/>
    <n v="71.5"/>
    <n v="3"/>
    <n v="21"/>
    <s v="Scheduled"/>
    <n v="23.833333333333332"/>
    <n v="536.5"/>
  </r>
  <r>
    <x v="3"/>
    <n v="34"/>
    <d v="2023-08-20T00:00:00"/>
    <d v="2023-05-20T00:00:00"/>
    <s v="Saturday"/>
    <s v="100 East 10th Street"/>
    <n v="104.1"/>
    <n v="96.1"/>
    <n v="5"/>
    <n v="26"/>
    <s v="Store"/>
    <n v="19.22"/>
    <n v="632.6"/>
  </r>
  <r>
    <x v="4"/>
    <n v="34"/>
    <d v="2023-08-23T00:00:00"/>
    <d v="2023-05-23T00:00:00"/>
    <s v="Tuesday"/>
    <s v="100 East 10th Street"/>
    <n v="165.2"/>
    <n v="157.19999999999999"/>
    <n v="3"/>
    <n v="29"/>
    <s v="Store"/>
    <n v="52.4"/>
    <n v="789.8"/>
  </r>
  <r>
    <x v="4"/>
    <n v="34"/>
    <d v="2023-08-26T00:00:00"/>
    <d v="2023-05-26T00:00:00"/>
    <s v="Friday"/>
    <s v="100 East 10th Street"/>
    <n v="166.5"/>
    <n v="158.5"/>
    <n v="3"/>
    <n v="32"/>
    <s v="Store"/>
    <n v="52.833333333333336"/>
    <n v="948.3"/>
  </r>
  <r>
    <x v="5"/>
    <n v="35"/>
    <d v="2023-08-31T00:00:00"/>
    <d v="2023-05-31T00:00:00"/>
    <s v="Wednesday"/>
    <s v="100 East 10th Street"/>
    <n v="127.6"/>
    <n v="119.6"/>
    <n v="5"/>
    <n v="37"/>
    <s v="Store"/>
    <n v="23.919999999999998"/>
    <n v="1067.8999999999999"/>
  </r>
  <r>
    <x v="6"/>
    <n v="36"/>
    <d v="2023-09-08T00:00:00"/>
    <d v="2023-06-08T00:00:00"/>
    <s v="Thursday"/>
    <s v="100 East 10th Street"/>
    <n v="160.80000000000001"/>
    <n v="152.80000000000001"/>
    <n v="8"/>
    <n v="45"/>
    <s v="Store"/>
    <n v="19.100000000000001"/>
    <n v="1220.6999999999998"/>
  </r>
  <r>
    <x v="7"/>
    <n v="37"/>
    <d v="2023-09-12T00:00:00"/>
    <d v="2023-06-12T00:00:00"/>
    <s v="Monday"/>
    <s v="100 East 10th Street"/>
    <n v="141.5"/>
    <n v="133.5"/>
    <n v="4"/>
    <n v="49"/>
    <s v="Store"/>
    <n v="33.375"/>
    <n v="1354.1999999999998"/>
  </r>
  <r>
    <x v="7"/>
    <n v="37"/>
    <d v="2023-09-15T00:00:00"/>
    <d v="2023-06-15T00:00:00"/>
    <s v="Thursday"/>
    <s v="100 East 10th Street"/>
    <n v="134.5"/>
    <n v="126.5"/>
    <n v="3"/>
    <n v="52"/>
    <s v="Store"/>
    <n v="42.166666666666664"/>
    <n v="1480.6999999999998"/>
  </r>
  <r>
    <x v="8"/>
    <n v="38"/>
    <d v="2023-09-20T00:00:00"/>
    <d v="2023-06-20T00:00:00"/>
    <s v="Tuesday"/>
    <s v="100 East 10th Street"/>
    <n v="153.5"/>
    <n v="145.5"/>
    <n v="5"/>
    <n v="57"/>
    <s v="Store"/>
    <n v="29.1"/>
    <n v="1626.1999999999998"/>
  </r>
  <r>
    <x v="9"/>
    <n v="39"/>
    <d v="2023-09-26T00:00:00"/>
    <d v="2023-06-26T00:00:00"/>
    <s v="Monday"/>
    <s v="100 East 10th Street"/>
    <n v="148"/>
    <n v="140"/>
    <n v="6"/>
    <n v="63"/>
    <s v="Store"/>
    <n v="23.333333333333332"/>
    <n v="1766.1999999999998"/>
  </r>
  <r>
    <x v="10"/>
    <n v="40"/>
    <d v="2023-10-02T00:00:00"/>
    <d v="2023-07-02T00:00:00"/>
    <s v="Sunday"/>
    <s v="100 East 10th Street"/>
    <n v="151"/>
    <n v="143"/>
    <n v="6"/>
    <n v="69"/>
    <s v="Store"/>
    <n v="23.833333333333332"/>
    <n v="1909.1999999999998"/>
  </r>
  <r>
    <x v="10"/>
    <n v="40"/>
    <d v="2023-10-06T00:00:00"/>
    <d v="2023-07-06T00:00:00"/>
    <s v="Thursday"/>
    <s v="100 East 10th Street"/>
    <n v="177"/>
    <n v="169"/>
    <n v="4"/>
    <n v="73"/>
    <s v="Store"/>
    <n v="42.25"/>
    <n v="2078.1999999999998"/>
  </r>
  <r>
    <x v="11"/>
    <n v="41"/>
    <d v="2023-10-13T00:00:00"/>
    <d v="2023-07-13T00:00:00"/>
    <s v="Thursday"/>
    <s v="100 East 10th Street"/>
    <n v="154"/>
    <n v="146"/>
    <n v="7"/>
    <n v="80"/>
    <s v="Store"/>
    <n v="20.857142857142858"/>
    <n v="2224.1999999999998"/>
  </r>
  <r>
    <x v="12"/>
    <n v="42"/>
    <d v="2023-10-16T00:00:00"/>
    <d v="2023-07-16T00:00:00"/>
    <s v="Sunday"/>
    <s v="100 East 10th Street"/>
    <n v="146.5"/>
    <n v="138.5"/>
    <n v="3"/>
    <n v="83"/>
    <s v="Store"/>
    <n v="46.166666666666664"/>
    <n v="2362.6999999999998"/>
  </r>
  <r>
    <x v="12"/>
    <n v="42"/>
    <d v="2023-10-20T00:00:00"/>
    <d v="2023-07-20T00:00:00"/>
    <s v="Thursday"/>
    <s v="100 East 10th Street"/>
    <n v="141"/>
    <n v="133"/>
    <n v="4"/>
    <n v="87"/>
    <s v="Store"/>
    <n v="33.25"/>
    <n v="2495.6999999999998"/>
  </r>
  <r>
    <x v="13"/>
    <n v="43"/>
    <d v="2023-10-24T00:00:00"/>
    <d v="2023-07-24T00:00:00"/>
    <s v="Monday"/>
    <s v="100 East 10th Street"/>
    <n v="149.5"/>
    <n v="141.5"/>
    <n v="4"/>
    <n v="91"/>
    <s v="Store"/>
    <n v="35.375"/>
    <n v="2637.2"/>
  </r>
  <r>
    <x v="13"/>
    <n v="43"/>
    <d v="2023-10-27T00:00:00"/>
    <d v="2023-07-27T00:00:00"/>
    <s v="Thursday"/>
    <s v="100 East 10th Street"/>
    <n v="140"/>
    <n v="132"/>
    <n v="3"/>
    <n v="94"/>
    <s v="Store"/>
    <n v="44"/>
    <n v="2769.2"/>
  </r>
  <r>
    <x v="14"/>
    <n v="44"/>
    <d v="2023-11-01T00:00:00"/>
    <d v="2023-08-01T00:00:00"/>
    <s v="Tuesday"/>
    <s v="100 East 10th Street"/>
    <n v="183.5"/>
    <n v="175.5"/>
    <n v="5"/>
    <n v="99"/>
    <s v="Store"/>
    <n v="35.1"/>
    <n v="2944.7"/>
  </r>
  <r>
    <x v="14"/>
    <n v="44"/>
    <d v="2023-11-03T00:00:00"/>
    <d v="2023-08-03T00:00:00"/>
    <s v="Thursday"/>
    <s v="100 East 10th Street"/>
    <n v="175"/>
    <n v="167"/>
    <n v="2"/>
    <n v="101"/>
    <s v="Store"/>
    <n v="83.5"/>
    <n v="3111.7"/>
  </r>
  <r>
    <x v="15"/>
    <n v="45"/>
    <d v="2023-11-08T00:00:00"/>
    <d v="2023-08-08T00:00:00"/>
    <s v="Tuesday"/>
    <s v="100 East 10th Street"/>
    <n v="151"/>
    <n v="143"/>
    <n v="5"/>
    <n v="106"/>
    <s v="Scheduled"/>
    <n v="28.6"/>
    <n v="3254.7"/>
  </r>
  <r>
    <x v="15"/>
    <n v="45"/>
    <d v="2023-11-11T00:00:00"/>
    <d v="2023-08-11T00:00:00"/>
    <s v="Friday"/>
    <s v="100 East 10th Street"/>
    <n v="130.5"/>
    <n v="122.5"/>
    <n v="3"/>
    <n v="109"/>
    <s v="Scheduled"/>
    <n v="40.833333333333336"/>
    <n v="3377.2"/>
  </r>
  <r>
    <x v="16"/>
    <n v="46"/>
    <d v="2023-11-15T00:00:00"/>
    <d v="2023-08-15T00:00:00"/>
    <s v="Tuesday"/>
    <s v="100 East 10th Street"/>
    <n v="148.5"/>
    <n v="140.5"/>
    <n v="4"/>
    <n v="113"/>
    <s v="Store"/>
    <n v="35.125"/>
    <n v="3517.7"/>
  </r>
  <r>
    <x v="16"/>
    <n v="47"/>
    <d v="2023-11-19T00:00:00"/>
    <d v="2023-08-19T00:00:00"/>
    <s v="Saturday"/>
    <s v="100 East 10th Street"/>
    <n v="162.5"/>
    <n v="154.5"/>
    <n v="4"/>
    <n v="117"/>
    <s v="Scheduled"/>
    <n v="38.625"/>
    <n v="3672.2"/>
  </r>
  <r>
    <x v="17"/>
    <n v="47"/>
    <d v="2023-11-21T00:00:00"/>
    <d v="2023-08-21T00:00:00"/>
    <s v="Monday"/>
    <s v="100 East 10th Street"/>
    <n v="124"/>
    <n v="116"/>
    <n v="2"/>
    <n v="119"/>
    <s v="Scheduled"/>
    <n v="58"/>
    <n v="3788.2"/>
  </r>
  <r>
    <x v="17"/>
    <n v="47"/>
    <d v="2023-11-24T00:00:00"/>
    <d v="2023-08-24T00:00:00"/>
    <s v="Thursday"/>
    <s v="100 East 10th Street"/>
    <n v="150"/>
    <n v="142"/>
    <n v="3"/>
    <n v="122"/>
    <s v="Store"/>
    <n v="47.333333333333336"/>
    <n v="3930.2"/>
  </r>
  <r>
    <x v="17"/>
    <n v="48"/>
    <d v="2023-11-26T00:00:00"/>
    <d v="2023-08-26T00:00:00"/>
    <s v="Saturday"/>
    <s v="100 East 10th Street"/>
    <n v="180"/>
    <n v="172"/>
    <n v="2"/>
    <n v="124"/>
    <s v="Store"/>
    <n v="86"/>
    <n v="4102.2"/>
  </r>
  <r>
    <x v="18"/>
    <n v="48"/>
    <d v="2023-11-28T00:00:00"/>
    <d v="2023-08-28T00:00:00"/>
    <s v="Monday"/>
    <s v="100 East 10th Street"/>
    <n v="75"/>
    <n v="67"/>
    <n v="2"/>
    <n v="126"/>
    <s v="Scheduled"/>
    <n v="33.5"/>
    <n v="4169.2"/>
  </r>
  <r>
    <x v="18"/>
    <n v="48"/>
    <d v="2023-12-01T00:00:00"/>
    <d v="2023-08-31T00:00:00"/>
    <s v="Thursday"/>
    <s v="100 East 10th Street"/>
    <n v="190"/>
    <n v="182"/>
    <n v="3"/>
    <n v="129"/>
    <s v="Store"/>
    <n v="60.666666666666664"/>
    <n v="4351.2"/>
  </r>
  <r>
    <x v="19"/>
    <n v="49"/>
    <d v="2023-12-04T00:00:00"/>
    <d v="2023-09-03T00:00:00"/>
    <s v="Sunday"/>
    <s v="100 East 10th Street"/>
    <n v="170"/>
    <n v="162"/>
    <n v="3"/>
    <n v="132"/>
    <s v="Store"/>
    <n v="54"/>
    <n v="4513.2"/>
  </r>
  <r>
    <x v="19"/>
    <n v="49"/>
    <d v="2023-12-06T00:00:00"/>
    <d v="2023-09-05T00:00:00"/>
    <s v="Tuesday"/>
    <s v="100 East 10th Street"/>
    <n v="105.5"/>
    <n v="97.5"/>
    <n v="2"/>
    <n v="134"/>
    <s v="Scheduled"/>
    <n v="48.75"/>
    <n v="4610.7"/>
  </r>
  <r>
    <x v="19"/>
    <n v="49"/>
    <d v="2023-12-08T00:00:00"/>
    <d v="2023-09-07T00:00:00"/>
    <s v="Thursday"/>
    <s v="100 East 10th Street"/>
    <n v="113.5"/>
    <n v="105.5"/>
    <n v="2"/>
    <n v="136"/>
    <s v="Scheduled"/>
    <n v="52.75"/>
    <n v="4716.2"/>
  </r>
  <r>
    <x v="19"/>
    <n v="50"/>
    <d v="2023-12-10T00:00:00"/>
    <d v="2023-09-09T00:00:00"/>
    <s v="Saturday"/>
    <s v="100 East 10th Street"/>
    <n v="170.5"/>
    <n v="162.5"/>
    <n v="2"/>
    <n v="138"/>
    <s v="Scheduled"/>
    <n v="81.25"/>
    <n v="4878.7"/>
  </r>
  <r>
    <x v="20"/>
    <n v="50"/>
    <d v="2023-12-12T00:00:00"/>
    <d v="2023-09-11T00:00:00"/>
    <s v="Monday"/>
    <s v="100 East 10th Street"/>
    <n v="163"/>
    <n v="155"/>
    <n v="2"/>
    <n v="140"/>
    <s v="Scheduled"/>
    <n v="77.5"/>
    <n v="5033.7"/>
  </r>
  <r>
    <x v="20"/>
    <n v="50"/>
    <d v="2023-12-14T00:00:00"/>
    <d v="2023-09-13T00:00:00"/>
    <s v="Wednesday"/>
    <s v="100 East 10th Street"/>
    <n v="145.5"/>
    <n v="137.5"/>
    <n v="2"/>
    <n v="142"/>
    <s v="Scheduled"/>
    <n v="68.75"/>
    <n v="5171.2"/>
  </r>
  <r>
    <x v="20"/>
    <n v="50"/>
    <d v="2023-12-16T00:00:00"/>
    <d v="2023-09-15T00:00:00"/>
    <s v="Friday"/>
    <s v="100 East 10th Street"/>
    <n v="109.5"/>
    <n v="101.5"/>
    <n v="2"/>
    <n v="144"/>
    <s v="Scheduled"/>
    <n v="50.75"/>
    <n v="5272.7"/>
  </r>
  <r>
    <x v="21"/>
    <n v="51"/>
    <d v="2023-12-19T00:00:00"/>
    <d v="2023-09-18T00:00:00"/>
    <s v="Monday"/>
    <s v="100 East 10th Street"/>
    <n v="143"/>
    <n v="135"/>
    <n v="3"/>
    <n v="147"/>
    <s v="Scheduled"/>
    <n v="45"/>
    <n v="5407.7"/>
  </r>
  <r>
    <x v="21"/>
    <n v="51"/>
    <d v="2023-12-21T00:00:00"/>
    <d v="2023-09-20T00:00:00"/>
    <s v="Wednesday"/>
    <s v="100 East 10th Street"/>
    <n v="143"/>
    <n v="135"/>
    <n v="2"/>
    <n v="149"/>
    <s v="Scheduled"/>
    <n v="67.5"/>
    <n v="5542.7"/>
  </r>
  <r>
    <x v="21"/>
    <n v="51"/>
    <d v="2023-12-23T00:00:00"/>
    <d v="2023-09-22T00:00:00"/>
    <s v="Friday"/>
    <s v="100 East 10th Street"/>
    <n v="166"/>
    <n v="158"/>
    <n v="2"/>
    <n v="151"/>
    <s v="Scheduled"/>
    <n v="79"/>
    <n v="5700.7"/>
  </r>
  <r>
    <x v="22"/>
    <n v="52"/>
    <d v="2023-12-25T00:00:00"/>
    <d v="2023-09-24T00:00:00"/>
    <s v="Sunday"/>
    <s v="100 East 10th Street"/>
    <n v="206"/>
    <n v="198"/>
    <n v="2"/>
    <n v="153"/>
    <s v="Store"/>
    <n v="99"/>
    <n v="5898.7"/>
  </r>
  <r>
    <x v="22"/>
    <n v="52"/>
    <d v="2023-12-27T00:00:00"/>
    <d v="2023-09-26T00:00:00"/>
    <s v="Tuesday"/>
    <s v="100 East 10th Street"/>
    <n v="90.5"/>
    <n v="82.5"/>
    <n v="2"/>
    <n v="155"/>
    <s v="Scheduled"/>
    <n v="41.25"/>
    <n v="5981.2"/>
  </r>
  <r>
    <x v="22"/>
    <n v="52"/>
    <d v="2023-12-29T00:00:00"/>
    <d v="2023-09-28T00:00:00"/>
    <s v="Thursday"/>
    <s v="100 East 10th Street"/>
    <n v="200"/>
    <n v="192"/>
    <n v="2"/>
    <n v="157"/>
    <s v="Store"/>
    <n v="96"/>
    <n v="6173.2"/>
  </r>
  <r>
    <x v="22"/>
    <m/>
    <m/>
    <d v="2023-09-30T00:00:00"/>
    <s v="Saturday"/>
    <s v="100 East 10th Street"/>
    <n v="195"/>
    <n v="187"/>
    <n v="2"/>
    <n v="159"/>
    <s v="Scheduled"/>
    <n v="93.5"/>
    <n v="6360.2"/>
  </r>
  <r>
    <x v="23"/>
    <m/>
    <m/>
    <d v="2023-10-02T00:00:00"/>
    <s v="Monday"/>
    <s v="100 East 10th Street"/>
    <n v="81.5"/>
    <n v="73.5"/>
    <n v="2"/>
    <n v="161"/>
    <s v="Scheduled"/>
    <n v="36.75"/>
    <n v="6433.7"/>
  </r>
  <r>
    <x v="23"/>
    <m/>
    <m/>
    <d v="2023-10-04T00:00:00"/>
    <s v="Wednesday"/>
    <s v="100 East 10th Street"/>
    <n v="127"/>
    <n v="119"/>
    <n v="2"/>
    <n v="163"/>
    <s v="Scheduled"/>
    <n v="59.5"/>
    <n v="6552.7"/>
  </r>
  <r>
    <x v="23"/>
    <m/>
    <m/>
    <d v="2023-10-06T00:00:00"/>
    <s v="Friday"/>
    <s v="100 East 10th Street"/>
    <n v="190"/>
    <n v="182"/>
    <n v="2"/>
    <n v="165"/>
    <s v="Scheduled"/>
    <n v="91"/>
    <n v="6734.7"/>
  </r>
  <r>
    <x v="24"/>
    <m/>
    <m/>
    <d v="2023-10-09T00:00:00"/>
    <s v="Monday"/>
    <s v="100 East 10th Street"/>
    <n v="120"/>
    <n v="112"/>
    <n v="3"/>
    <n v="168"/>
    <s v="Scheduled"/>
    <n v="37.333333333333336"/>
    <n v="6846.7"/>
  </r>
  <r>
    <x v="24"/>
    <m/>
    <m/>
    <d v="2023-10-11T00:00:00"/>
    <s v="Wednesday"/>
    <s v="100 East 10th Street"/>
    <n v="146.5"/>
    <n v="138.5"/>
    <n v="2"/>
    <n v="170"/>
    <s v="Scheduled"/>
    <n v="69.25"/>
    <n v="6985.2"/>
  </r>
  <r>
    <x v="24"/>
    <m/>
    <m/>
    <d v="2023-10-13T00:00:00"/>
    <s v="Friday"/>
    <s v="100 East 10th Street"/>
    <n v="155.5"/>
    <n v="147.5"/>
    <n v="2"/>
    <n v="172"/>
    <s v="Scheduled"/>
    <n v="73.75"/>
    <n v="7132.7"/>
  </r>
  <r>
    <x v="25"/>
    <m/>
    <m/>
    <d v="2023-10-15T00:00:00"/>
    <s v="Sunday"/>
    <s v="100 East 10th Street"/>
    <n v="175"/>
    <n v="167"/>
    <n v="2"/>
    <n v="174"/>
    <s v="Scheduled"/>
    <n v="83.5"/>
    <n v="7299.7"/>
  </r>
  <r>
    <x v="25"/>
    <m/>
    <m/>
    <d v="2023-10-17T00:00:00"/>
    <s v="Tuesday"/>
    <s v="100 East 10th Street"/>
    <n v="66"/>
    <n v="58"/>
    <n v="2"/>
    <n v="176"/>
    <s v="Scheduled"/>
    <n v="29"/>
    <n v="7357.7"/>
  </r>
  <r>
    <x v="25"/>
    <m/>
    <m/>
    <d v="2023-10-19T00:00:00"/>
    <s v="Thursday"/>
    <s v="100 East 10th Street"/>
    <n v="104"/>
    <n v="96"/>
    <n v="2"/>
    <n v="178"/>
    <s v="Scheduled"/>
    <n v="48"/>
    <n v="7453.7"/>
  </r>
  <r>
    <x v="25"/>
    <m/>
    <m/>
    <d v="2023-10-21T00:00:00"/>
    <s v="Saturday"/>
    <s v="100 East 10th Street"/>
    <n v="203"/>
    <n v="195"/>
    <n v="2"/>
    <n v="180"/>
    <s v="Store"/>
    <n v="97.5"/>
    <n v="7648.7"/>
  </r>
  <r>
    <x v="26"/>
    <m/>
    <m/>
    <d v="2023-10-24T00:00:00"/>
    <s v="Tuesday"/>
    <s v="100 East 10th Street"/>
    <n v="215.5"/>
    <n v="207.5"/>
    <n v="3"/>
    <n v="183"/>
    <s v="Scheduled"/>
    <n v="69.166666666666671"/>
    <n v="7856.2"/>
  </r>
  <r>
    <x v="26"/>
    <m/>
    <m/>
    <d v="2023-10-26T00:00:00"/>
    <s v="Thursday"/>
    <s v="100 East 10th Street"/>
    <n v="98"/>
    <n v="90"/>
    <n v="2"/>
    <n v="185"/>
    <s v="Scheduled"/>
    <n v="45"/>
    <n v="7946.2"/>
  </r>
  <r>
    <x v="27"/>
    <m/>
    <m/>
    <d v="2023-10-29T00:00:00"/>
    <s v="Sunday"/>
    <s v="100 East 10th Street"/>
    <n v="108"/>
    <n v="100"/>
    <n v="3"/>
    <n v="188"/>
    <s v="Scheduled"/>
    <n v="33.333333333333336"/>
    <n v="8046.2"/>
  </r>
  <r>
    <x v="27"/>
    <m/>
    <m/>
    <d v="2023-10-30T00:00:00"/>
    <s v="Monday"/>
    <s v="100 East 10th Street"/>
    <n v="194"/>
    <n v="186"/>
    <n v="1"/>
    <n v="189"/>
    <s v="Scheduled"/>
    <n v="186"/>
    <n v="8232.2000000000007"/>
  </r>
  <r>
    <x v="27"/>
    <m/>
    <m/>
    <d v="2023-11-01T00:00:00"/>
    <s v="Wednesday"/>
    <s v="100 East 10th Street"/>
    <n v="153.5"/>
    <n v="145.5"/>
    <n v="2"/>
    <n v="191"/>
    <s v="Scheduled"/>
    <n v="72.75"/>
    <n v="8377.7000000000007"/>
  </r>
  <r>
    <x v="27"/>
    <m/>
    <m/>
    <d v="2023-11-03T00:00:00"/>
    <s v="Friday"/>
    <s v="100 East 10th Street"/>
    <n v="181"/>
    <n v="173"/>
    <n v="2"/>
    <n v="193"/>
    <s v="Scheduled"/>
    <n v="86.5"/>
    <n v="8550.7000000000007"/>
  </r>
  <r>
    <x v="28"/>
    <m/>
    <m/>
    <d v="2023-11-06T00:00:00"/>
    <s v="Monday"/>
    <s v="100 East 10th Street"/>
    <n v="171"/>
    <n v="163"/>
    <n v="3"/>
    <n v="196"/>
    <s v="Scheduled"/>
    <n v="54.333333333333336"/>
    <n v="8713.7000000000007"/>
  </r>
  <r>
    <x v="28"/>
    <m/>
    <m/>
    <d v="2023-11-08T00:00:00"/>
    <s v="Wednesday"/>
    <s v="100 East 10th Street"/>
    <n v="141.5"/>
    <n v="133.5"/>
    <n v="2"/>
    <n v="198"/>
    <s v="Scheduled"/>
    <n v="66.75"/>
    <n v="8847.2000000000007"/>
  </r>
  <r>
    <x v="28"/>
    <m/>
    <m/>
    <d v="2023-11-10T00:00:00"/>
    <s v="Friday"/>
    <s v="100 East 10th Street"/>
    <n v="152"/>
    <n v="144"/>
    <n v="2"/>
    <n v="200"/>
    <s v="Scheduled"/>
    <n v="72"/>
    <n v="8991.2000000000007"/>
  </r>
  <r>
    <x v="29"/>
    <m/>
    <m/>
    <d v="2023-11-12T00:00:00"/>
    <s v="Sunday"/>
    <s v="100 East 10th Street"/>
    <n v="75"/>
    <n v="67"/>
    <n v="2"/>
    <n v="202"/>
    <s v="Scheduled"/>
    <n v="33.5"/>
    <n v="9058.2000000000007"/>
  </r>
  <r>
    <x v="30"/>
    <m/>
    <m/>
    <d v="2023-11-20T00:00:00"/>
    <s v="Monday"/>
    <s v="100 East 10th Street"/>
    <n v="578"/>
    <n v="570"/>
    <n v="8"/>
    <n v="210"/>
    <s v="Scheduled"/>
    <n v="71.25"/>
    <n v="9628.2000000000007"/>
  </r>
  <r>
    <x v="30"/>
    <m/>
    <m/>
    <d v="2023-11-22T00:00:00"/>
    <s v="Wednesday"/>
    <s v="100 East 10th Street"/>
    <n v="160"/>
    <n v="152"/>
    <n v="2"/>
    <n v="212"/>
    <s v="Scheduled"/>
    <n v="76"/>
    <n v="9780.2000000000007"/>
  </r>
  <r>
    <x v="31"/>
    <m/>
    <m/>
    <d v="2023-11-26T00:00:00"/>
    <s v="Sunday"/>
    <s v="100 East 10th Street"/>
    <n v="157"/>
    <n v="149"/>
    <n v="4"/>
    <n v="216"/>
    <s v="Scheduled"/>
    <n v="37.25"/>
    <n v="9929.2000000000007"/>
  </r>
  <r>
    <x v="31"/>
    <m/>
    <m/>
    <d v="2023-11-28T00:00:00"/>
    <s v="Tuesday"/>
    <s v="100 East 10th Street"/>
    <n v="107.5"/>
    <n v="99.5"/>
    <n v="2"/>
    <n v="218"/>
    <s v="Scheduled"/>
    <n v="49.75"/>
    <n v="10028.700000000001"/>
  </r>
  <r>
    <x v="31"/>
    <m/>
    <m/>
    <d v="2023-11-30T00:00:00"/>
    <s v="Thursday"/>
    <s v="100 East 10th Street"/>
    <n v="149"/>
    <n v="141"/>
    <n v="2"/>
    <n v="220"/>
    <s v="Scheduled"/>
    <n v="70.5"/>
    <n v="10169.700000000001"/>
  </r>
  <r>
    <x v="31"/>
    <m/>
    <m/>
    <d v="2023-12-02T00:00:00"/>
    <s v="Saturday"/>
    <s v="100 East 10th Street"/>
    <n v="142.5"/>
    <n v="134.5"/>
    <n v="2"/>
    <n v="222"/>
    <s v="Scheduled"/>
    <n v="67.25"/>
    <n v="10304.200000000001"/>
  </r>
  <r>
    <x v="32"/>
    <m/>
    <m/>
    <d v="2023-12-04T00:00:00"/>
    <s v="Monday"/>
    <s v="100 East 10th Street"/>
    <n v="119.5"/>
    <n v="111.5"/>
    <n v="2"/>
    <n v="224"/>
    <s v="Scheduled"/>
    <n v="55.75"/>
    <n v="10415.700000000001"/>
  </r>
  <r>
    <x v="32"/>
    <m/>
    <m/>
    <d v="2023-12-06T00:00:00"/>
    <s v="Wednesday"/>
    <s v="100 East 10th Street"/>
    <n v="106"/>
    <n v="98"/>
    <n v="2"/>
    <n v="226"/>
    <s v="Scheduled"/>
    <n v="49"/>
    <n v="10513.7"/>
  </r>
  <r>
    <x v="32"/>
    <m/>
    <m/>
    <d v="2023-12-08T00:00:00"/>
    <s v="Friday"/>
    <s v="100 East 10th Street"/>
    <n v="168"/>
    <n v="160"/>
    <n v="2"/>
    <n v="228"/>
    <s v="Scheduled"/>
    <n v="80"/>
    <n v="10673.7"/>
  </r>
  <r>
    <x v="33"/>
    <m/>
    <m/>
    <d v="2023-12-12T00:00:00"/>
    <s v="Tuesday"/>
    <s v="100 East 10th Street"/>
    <n v="259.5"/>
    <n v="251.5"/>
    <n v="4"/>
    <n v="232"/>
    <s v="Scheduled"/>
    <n v="62.875"/>
    <n v="10925.2"/>
  </r>
  <r>
    <x v="33"/>
    <m/>
    <m/>
    <d v="2023-12-16T00:00:00"/>
    <s v="Saturday"/>
    <s v="100 East 10th Street"/>
    <n v="303.5"/>
    <n v="295.5"/>
    <n v="4"/>
    <n v="236"/>
    <s v="Scheduled"/>
    <n v="73.875"/>
    <n v="11220.7"/>
  </r>
  <r>
    <x v="34"/>
    <m/>
    <m/>
    <d v="2023-12-19T00:00:00"/>
    <s v="Tuesday"/>
    <s v="100 East 10th Street"/>
    <n v="179"/>
    <n v="171"/>
    <n v="3"/>
    <n v="239"/>
    <s v="Scheduled"/>
    <n v="57"/>
    <n v="11391.7"/>
  </r>
  <r>
    <x v="34"/>
    <m/>
    <m/>
    <d v="2023-12-23T00:00:00"/>
    <s v="Saturday"/>
    <s v="100 East 10th Street"/>
    <n v="181.5"/>
    <n v="173.5"/>
    <n v="4"/>
    <n v="243"/>
    <s v="Store"/>
    <n v="43.375"/>
    <n v="11565.2"/>
  </r>
  <r>
    <x v="35"/>
    <m/>
    <m/>
    <d v="2023-12-29T00:00:00"/>
    <s v="Friday"/>
    <s v="100 East 10th Street"/>
    <n v="189"/>
    <n v="181"/>
    <n v="6"/>
    <n v="249"/>
    <s v="Store"/>
    <n v="30.166666666666668"/>
    <n v="11746.2"/>
  </r>
  <r>
    <x v="36"/>
    <m/>
    <m/>
    <d v="2024-01-02T00:00:00"/>
    <s v="Tuesday"/>
    <s v="100 East 10th Street"/>
    <n v="151"/>
    <n v="143"/>
    <n v="4"/>
    <n v="253"/>
    <s v="Store"/>
    <n v="35.75"/>
    <n v="11889.2"/>
  </r>
  <r>
    <x v="37"/>
    <m/>
    <m/>
    <d v="2024-01-10T00:00:00"/>
    <s v="Wednesday"/>
    <s v="100 East 10th Street"/>
    <n v="382"/>
    <n v="374"/>
    <n v="8"/>
    <n v="261"/>
    <s v="Store"/>
    <n v="46.75"/>
    <n v="12263.2"/>
  </r>
  <r>
    <x v="37"/>
    <m/>
    <m/>
    <d v="2024-01-12T00:00:00"/>
    <s v="Friday"/>
    <s v="100 East 10th Street"/>
    <n v="171.9"/>
    <n v="163.9"/>
    <n v="2"/>
    <n v="263"/>
    <s v="Scheduled"/>
    <n v="81.95"/>
    <n v="12427.1"/>
  </r>
  <r>
    <x v="38"/>
    <m/>
    <m/>
    <d v="2024-01-14T00:00:00"/>
    <s v="Sunday"/>
    <s v="100 East 10th Street"/>
    <n v="120"/>
    <n v="112"/>
    <n v="2"/>
    <n v="265"/>
    <s v="Scheduled"/>
    <n v="56"/>
    <n v="12539.1"/>
  </r>
  <r>
    <x v="38"/>
    <m/>
    <m/>
    <d v="2024-01-17T00:00:00"/>
    <s v="Wednesday"/>
    <s v="100 East 10th Street"/>
    <n v="172"/>
    <n v="164"/>
    <n v="3"/>
    <n v="268"/>
    <s v="Scheduled"/>
    <n v="54.666666666666664"/>
    <n v="12703.1"/>
  </r>
  <r>
    <x v="39"/>
    <m/>
    <m/>
    <d v="2024-01-21T00:00:00"/>
    <s v="Sunday"/>
    <s v="100 East 10th Street"/>
    <n v="212"/>
    <n v="204"/>
    <n v="4"/>
    <n v="272"/>
    <s v="Scheduled"/>
    <n v="51"/>
    <n v="12907.1"/>
  </r>
  <r>
    <x v="39"/>
    <m/>
    <m/>
    <d v="2024-01-23T00:00:00"/>
    <s v="Tuesday"/>
    <s v="100 East 10th Street"/>
    <n v="175"/>
    <n v="167"/>
    <n v="2"/>
    <n v="274"/>
    <s v="Scheduled"/>
    <n v="83.5"/>
    <n v="13074.1"/>
  </r>
  <r>
    <x v="39"/>
    <m/>
    <m/>
    <d v="2024-01-26T00:00:00"/>
    <s v="Friday"/>
    <s v="100 East 10th Street"/>
    <n v="180"/>
    <n v="172"/>
    <n v="3"/>
    <n v="277"/>
    <s v="Scheduled"/>
    <n v="57.333333333333336"/>
    <n v="13246.1"/>
  </r>
  <r>
    <x v="40"/>
    <m/>
    <m/>
    <d v="2024-01-28T00:00:00"/>
    <s v="Sunday"/>
    <s v="100 East 10th Street"/>
    <n v="151.5"/>
    <n v="143.5"/>
    <n v="2"/>
    <n v="279"/>
    <s v="Scheduled"/>
    <n v="71.75"/>
    <n v="13389.6"/>
  </r>
  <r>
    <x v="40"/>
    <m/>
    <m/>
    <d v="2024-01-30T00:00:00"/>
    <s v="Tuesday"/>
    <s v="100 East 10th Street"/>
    <n v="155"/>
    <n v="147"/>
    <n v="2"/>
    <n v="281"/>
    <s v="Scheduled"/>
    <n v="73.5"/>
    <n v="13536.6"/>
  </r>
  <r>
    <x v="40"/>
    <m/>
    <m/>
    <d v="2024-02-01T00:00:00"/>
    <s v="Thursday"/>
    <s v="100 East 10th Street"/>
    <n v="153"/>
    <n v="145"/>
    <n v="2"/>
    <n v="283"/>
    <s v="Scheduled"/>
    <n v="72.5"/>
    <n v="13681.6"/>
  </r>
  <r>
    <x v="40"/>
    <m/>
    <m/>
    <d v="2024-02-03T00:00:00"/>
    <s v="Saturday"/>
    <s v="100 East 10th Street"/>
    <n v="144.5"/>
    <n v="136.5"/>
    <n v="2"/>
    <n v="285"/>
    <s v="Scheduled"/>
    <n v="68.25"/>
    <n v="13818.1"/>
  </r>
  <r>
    <x v="41"/>
    <m/>
    <m/>
    <d v="2024-02-05T00:00:00"/>
    <s v="Monday"/>
    <s v="100 East 10th Street"/>
    <n v="103.5"/>
    <n v="95.5"/>
    <n v="2"/>
    <n v="287"/>
    <s v="Scheduled"/>
    <n v="47.75"/>
    <n v="13913.6"/>
  </r>
  <r>
    <x v="41"/>
    <m/>
    <m/>
    <d v="2024-02-07T00:00:00"/>
    <s v="Wednesday"/>
    <s v="100 East 10th Street"/>
    <n v="160"/>
    <n v="152"/>
    <n v="2"/>
    <n v="289"/>
    <s v="Scheduled"/>
    <n v="76"/>
    <n v="14065.6"/>
  </r>
  <r>
    <x v="41"/>
    <m/>
    <m/>
    <d v="2024-02-09T00:00:00"/>
    <s v="Friday"/>
    <s v="100 East 10th Street"/>
    <n v="164"/>
    <n v="156"/>
    <n v="2"/>
    <n v="291"/>
    <s v="Scheduled"/>
    <n v="78"/>
    <n v="14221.6"/>
  </r>
  <r>
    <x v="42"/>
    <m/>
    <m/>
    <d v="2024-02-12T00:00:00"/>
    <s v="Monday"/>
    <s v="100 East 10th Street"/>
    <n v="155"/>
    <n v="147"/>
    <n v="3"/>
    <n v="294"/>
    <s v="Scheduled"/>
    <n v="49"/>
    <n v="14368.6"/>
  </r>
  <r>
    <x v="42"/>
    <m/>
    <m/>
    <d v="2024-02-14T00:00:00"/>
    <s v="Wednesday"/>
    <s v="100 East 10th Street"/>
    <n v="156"/>
    <n v="148"/>
    <n v="2"/>
    <n v="296"/>
    <s v="Scheduled"/>
    <n v="74"/>
    <n v="14516.6"/>
  </r>
  <r>
    <x v="42"/>
    <m/>
    <m/>
    <d v="2024-02-16T00:00:00"/>
    <s v="Friday"/>
    <s v="100 East 10th Street"/>
    <n v="165"/>
    <n v="157"/>
    <n v="2"/>
    <n v="298"/>
    <s v="Scheduled"/>
    <n v="78.5"/>
    <n v="14673.6"/>
  </r>
  <r>
    <x v="43"/>
    <m/>
    <m/>
    <d v="2024-02-18T00:00:00"/>
    <s v="Sunday"/>
    <s v="100 East 10th Street"/>
    <n v="145"/>
    <n v="137"/>
    <n v="2"/>
    <n v="300"/>
    <s v="Scheduled"/>
    <n v="68.5"/>
    <n v="14810.6"/>
  </r>
  <r>
    <x v="43"/>
    <m/>
    <m/>
    <d v="2024-02-20T00:00:00"/>
    <s v="Tuesday"/>
    <s v="100 East 10th Street"/>
    <n v="180"/>
    <n v="172"/>
    <n v="2"/>
    <n v="302"/>
    <s v="Scheduled"/>
    <n v="86"/>
    <n v="14982.6"/>
  </r>
  <r>
    <x v="43"/>
    <m/>
    <m/>
    <d v="2024-02-22T00:00:00"/>
    <s v="Thursday"/>
    <s v="100 East 10th Street"/>
    <n v="150"/>
    <n v="142"/>
    <n v="2"/>
    <n v="304"/>
    <s v="Scheduled"/>
    <n v="71"/>
    <n v="15124.6"/>
  </r>
  <r>
    <x v="44"/>
    <m/>
    <m/>
    <d v="2024-02-25T00:00:00"/>
    <s v="Sunday"/>
    <s v="100 East 10th Street"/>
    <n v="190"/>
    <n v="182"/>
    <n v="3"/>
    <n v="307"/>
    <s v="Scheduled"/>
    <n v="60.666666666666664"/>
    <n v="15306.6"/>
  </r>
  <r>
    <x v="44"/>
    <m/>
    <m/>
    <d v="2024-02-27T00:00:00"/>
    <s v="Tuesday"/>
    <s v="100 East 10th Street"/>
    <n v="156"/>
    <n v="148"/>
    <n v="2"/>
    <n v="309"/>
    <s v="Scheduled"/>
    <n v="74"/>
    <n v="15454.6"/>
  </r>
  <r>
    <x v="44"/>
    <m/>
    <m/>
    <d v="2024-02-29T00:00:00"/>
    <s v="Thursday"/>
    <s v="100 East 10th Street"/>
    <n v="165"/>
    <n v="157"/>
    <n v="2"/>
    <n v="311"/>
    <s v="Scheduled"/>
    <n v="78.5"/>
    <n v="15611.6"/>
  </r>
  <r>
    <x v="45"/>
    <m/>
    <m/>
    <d v="2024-03-04T00:00:00"/>
    <s v="Monday"/>
    <s v="100 East 10th Street"/>
    <n v="312"/>
    <n v="304"/>
    <n v="4"/>
    <n v="315"/>
    <s v="Scheduled"/>
    <n v="76"/>
    <n v="15915.6"/>
  </r>
  <r>
    <x v="45"/>
    <m/>
    <m/>
    <d v="2024-03-06T00:00:00"/>
    <s v="Wednesday"/>
    <s v="100 East 10th Street"/>
    <n v="156"/>
    <n v="148"/>
    <n v="2"/>
    <n v="317"/>
    <s v="Store"/>
    <n v="74"/>
    <n v="16063.6"/>
  </r>
  <r>
    <x v="46"/>
    <m/>
    <m/>
    <d v="2024-03-11T00:00:00"/>
    <s v="Monday"/>
    <s v="100 East 10th Street"/>
    <n v="312"/>
    <n v="304"/>
    <n v="5"/>
    <n v="322"/>
    <s v="Store"/>
    <n v="60.8"/>
    <n v="16367.6"/>
  </r>
  <r>
    <x v="46"/>
    <m/>
    <m/>
    <d v="2024-03-14T00:00:00"/>
    <s v="Thursday"/>
    <s v="100 East 10th Street"/>
    <n v="158"/>
    <n v="150"/>
    <n v="3"/>
    <n v="325"/>
    <s v="Store"/>
    <n v="50"/>
    <n v="16517.599999999999"/>
  </r>
  <r>
    <x v="47"/>
    <m/>
    <m/>
    <d v="2024-03-17T00:00:00"/>
    <s v="Sunday"/>
    <s v="100 East 10th Street"/>
    <n v="200"/>
    <n v="192"/>
    <n v="3"/>
    <n v="328"/>
    <s v="Store"/>
    <n v="64"/>
    <n v="16709.599999999999"/>
  </r>
  <r>
    <x v="47"/>
    <m/>
    <m/>
    <d v="2024-03-21T00:00:00"/>
    <s v="Thursday"/>
    <s v="100 East 10th Street"/>
    <n v="185"/>
    <n v="177"/>
    <n v="4"/>
    <n v="332"/>
    <s v="Store"/>
    <n v="44.25"/>
    <n v="16886.599999999999"/>
  </r>
  <r>
    <x v="48"/>
    <m/>
    <m/>
    <d v="2024-03-25T00:00:00"/>
    <s v="Monday"/>
    <s v="100 East 10th Street"/>
    <n v="175"/>
    <n v="167"/>
    <n v="4"/>
    <n v="336"/>
    <s v="Scheduled"/>
    <n v="41.75"/>
    <n v="17053.599999999999"/>
  </r>
  <r>
    <x v="48"/>
    <m/>
    <m/>
    <d v="2024-03-27T00:00:00"/>
    <s v="Wednesday"/>
    <s v="100 East 10th Street"/>
    <n v="185"/>
    <n v="177"/>
    <n v="2"/>
    <n v="338"/>
    <s v="Store"/>
    <n v="88.5"/>
    <n v="17230.599999999999"/>
  </r>
  <r>
    <x v="48"/>
    <m/>
    <m/>
    <d v="2024-03-30T00:00:00"/>
    <s v="Saturday"/>
    <s v="100 East 10th Street"/>
    <n v="165"/>
    <n v="157"/>
    <n v="3"/>
    <n v="341"/>
    <s v="Store"/>
    <n v="52.333333333333336"/>
    <n v="17387.599999999999"/>
  </r>
  <r>
    <x v="49"/>
    <m/>
    <m/>
    <d v="2024-04-01T00:00:00"/>
    <s v="Monday"/>
    <s v="100 East 10th Street"/>
    <n v="215"/>
    <n v="207"/>
    <n v="2"/>
    <n v="343"/>
    <s v="Store"/>
    <n v="103.5"/>
    <n v="17594.599999999999"/>
  </r>
  <r>
    <x v="49"/>
    <m/>
    <m/>
    <d v="2024-04-04T00:00:00"/>
    <s v="Thursday"/>
    <s v="100 East 10th Street"/>
    <n v="200"/>
    <n v="192"/>
    <n v="3"/>
    <n v="346"/>
    <s v="Store"/>
    <n v="64"/>
    <n v="17786.599999999999"/>
  </r>
  <r>
    <x v="50"/>
    <m/>
    <m/>
    <d v="2024-04-08T00:00:00"/>
    <s v="Monday"/>
    <s v="100 East 10th Street"/>
    <n v="377"/>
    <n v="369"/>
    <n v="4"/>
    <n v="350"/>
    <s v="Store"/>
    <n v="92.25"/>
    <n v="18155.599999999999"/>
  </r>
  <r>
    <x v="50"/>
    <m/>
    <m/>
    <d v="2024-04-11T00:00:00"/>
    <s v="Thursday"/>
    <s v="100 East 10th Street"/>
    <n v="172"/>
    <n v="164"/>
    <n v="3"/>
    <n v="353"/>
    <s v="Store"/>
    <n v="54.666666666666664"/>
    <n v="18319.599999999999"/>
  </r>
  <r>
    <x v="51"/>
    <m/>
    <m/>
    <d v="2024-04-14T00:00:00"/>
    <s v="Sunday"/>
    <s v="100 East 10th Street"/>
    <n v="200"/>
    <n v="192"/>
    <n v="3"/>
    <n v="356"/>
    <s v="Scheduled"/>
    <n v="64"/>
    <n v="18511.599999999999"/>
  </r>
  <r>
    <x v="51"/>
    <m/>
    <m/>
    <d v="2024-04-16T00:00:00"/>
    <s v="Tuesday"/>
    <s v="100 East 10th Street"/>
    <n v="176"/>
    <n v="168"/>
    <n v="2"/>
    <n v="358"/>
    <s v="Scheduled"/>
    <n v="84"/>
    <n v="18679.599999999999"/>
  </r>
  <r>
    <x v="51"/>
    <m/>
    <m/>
    <d v="2024-04-18T00:00:00"/>
    <s v="Thursday"/>
    <s v="100 East 10th Street"/>
    <n v="165"/>
    <n v="157"/>
    <n v="2"/>
    <n v="360"/>
    <s v="Scheduled"/>
    <n v="78.5"/>
    <n v="18836.599999999999"/>
  </r>
  <r>
    <x v="0"/>
    <m/>
    <m/>
    <d v="2024-04-21T00:00:00"/>
    <s v="Sunday"/>
    <s v="100 East 10th Street"/>
    <n v="186"/>
    <n v="178"/>
    <n v="3"/>
    <n v="363"/>
    <s v="Scheduled"/>
    <n v="59.333333333333336"/>
    <n v="19014.599999999999"/>
  </r>
  <r>
    <x v="0"/>
    <m/>
    <m/>
    <d v="2024-04-24T00:00:00"/>
    <s v="Wednesday"/>
    <s v="100 East 10th Street"/>
    <n v="196"/>
    <n v="188"/>
    <n v="3"/>
    <n v="366"/>
    <s v="Scheduled"/>
    <n v="62.666666666666664"/>
    <n v="19202.599999999999"/>
  </r>
  <r>
    <x v="1"/>
    <m/>
    <m/>
    <d v="2024-04-29T00:00:00"/>
    <s v="Monday"/>
    <s v="100 East 10th Street"/>
    <n v="379"/>
    <n v="371"/>
    <n v="5"/>
    <n v="371"/>
    <s v="Scheduled"/>
    <n v="74.2"/>
    <n v="19573.599999999999"/>
  </r>
  <r>
    <x v="2"/>
    <m/>
    <m/>
    <d v="2024-05-06T00:00:00"/>
    <s v="Monday"/>
    <s v="100 East 10th Street"/>
    <n v="317.33999999999997"/>
    <n v="309.33999999999997"/>
    <n v="7"/>
    <n v="378"/>
    <s v="Scheduled"/>
    <n v="44.191428571428567"/>
    <n v="19882.939999999999"/>
  </r>
  <r>
    <x v="3"/>
    <m/>
    <m/>
    <d v="2024-05-15T00:00:00"/>
    <s v="Wednesday"/>
    <s v="100 East 10th Street"/>
    <n v="308.53999999999996"/>
    <n v="300.53999999999996"/>
    <n v="9"/>
    <n v="387"/>
    <s v="Scheduled"/>
    <n v="33.393333333333331"/>
    <n v="20183.48"/>
  </r>
  <r>
    <x v="4"/>
    <m/>
    <m/>
    <d v="2024-05-20T00:00:00"/>
    <s v="Monday"/>
    <s v="100 East 10th Street"/>
    <n v="376.05"/>
    <n v="368.05"/>
    <n v="5"/>
    <n v="392"/>
    <s v="Scheduled"/>
    <n v="73.61"/>
    <n v="20551.53"/>
  </r>
  <r>
    <x v="4"/>
    <m/>
    <m/>
    <d v="2024-05-22T00:00:00"/>
    <s v="Wednesday"/>
    <s v="100 East 10th Street"/>
    <n v="207"/>
    <n v="199"/>
    <n v="2"/>
    <n v="394"/>
    <s v="Scheduled"/>
    <n v="99.5"/>
    <n v="20750.53"/>
  </r>
  <r>
    <x v="5"/>
    <m/>
    <m/>
    <d v="2024-05-30T00:00:00"/>
    <s v="Thursday"/>
    <s v="100 East 10th Street"/>
    <n v="373"/>
    <n v="365"/>
    <n v="8"/>
    <n v="402"/>
    <s v="Scheduled"/>
    <n v="45.625"/>
    <n v="21115.53"/>
  </r>
  <r>
    <x v="6"/>
    <m/>
    <m/>
    <d v="2024-06-02T00:00:00"/>
    <s v="Sunday"/>
    <s v="100 East 10th Street"/>
    <n v="127.52"/>
    <n v="119.52"/>
    <n v="3"/>
    <n v="405"/>
    <s v="Scheduled"/>
    <n v="39.839999999999996"/>
    <n v="21235.05"/>
  </r>
  <r>
    <x v="6"/>
    <m/>
    <m/>
    <d v="2024-06-06T00:00:00"/>
    <s v="Thursday"/>
    <s v="100 East 10th Street"/>
    <n v="447.98"/>
    <n v="439.98"/>
    <n v="4"/>
    <n v="409"/>
    <s v="Scheduled"/>
    <n v="109.995"/>
    <n v="21675.03"/>
  </r>
  <r>
    <x v="7"/>
    <m/>
    <m/>
    <d v="2024-06-12T00:00:00"/>
    <s v="Wednesday"/>
    <s v="100 East 10th Street"/>
    <n v="329.8125"/>
    <n v="321.8125"/>
    <n v="6"/>
    <n v="415"/>
    <s v="Scheduled"/>
    <n v="53.635416666666664"/>
    <n v="21996.842499999999"/>
  </r>
  <r>
    <x v="7"/>
    <m/>
    <m/>
    <d v="2024-06-15T00:00:00"/>
    <s v="Saturday"/>
    <s v="100 East 10th Street"/>
    <n v="451.8"/>
    <n v="443.8"/>
    <n v="3"/>
    <n v="418"/>
    <s v="Scheduled"/>
    <n v="147.93333333333334"/>
    <n v="22440.642499999998"/>
  </r>
  <r>
    <x v="8"/>
    <m/>
    <m/>
    <d v="2024-06-18T00:00:00"/>
    <s v="Tuesday"/>
    <s v="100 East 10th Street"/>
    <n v="161"/>
    <n v="153"/>
    <n v="3"/>
    <n v="421"/>
    <s v="Scheduled"/>
    <n v="51"/>
    <n v="22593.642499999998"/>
  </r>
  <r>
    <x v="9"/>
    <m/>
    <m/>
    <d v="2024-06-25T00:00:00"/>
    <s v="Tuesday"/>
    <s v="100 East 10th Street"/>
    <n v="152.02000000000001"/>
    <n v="144.02000000000001"/>
    <n v="7"/>
    <n v="428"/>
    <s v="Scheduled"/>
    <n v="20.574285714285715"/>
    <n v="22737.662499999999"/>
  </r>
  <r>
    <x v="10"/>
    <m/>
    <m/>
    <d v="2024-06-30T00:00:00"/>
    <s v="Sunday"/>
    <s v="100 East 10th Street"/>
    <n v="398.64"/>
    <n v="390.64"/>
    <n v="5"/>
    <n v="433"/>
    <s v="Scheduled"/>
    <n v="78.128"/>
    <n v="23128.302499999998"/>
  </r>
  <r>
    <x v="10"/>
    <m/>
    <m/>
    <d v="2024-07-05T00:00:00"/>
    <s v="Friday"/>
    <s v="100 East 10th Street"/>
    <n v="372.56"/>
    <n v="364.56"/>
    <n v="5"/>
    <n v="438"/>
    <s v="Scheduled"/>
    <n v="72.912000000000006"/>
    <n v="23492.862499999999"/>
  </r>
  <r>
    <x v="12"/>
    <m/>
    <m/>
    <d v="2024-07-17T00:00:00"/>
    <s v="Wednesday"/>
    <s v="100 East 10th Street"/>
    <n v="449.66"/>
    <n v="441.66"/>
    <n v="12"/>
    <n v="450"/>
    <s v="Scheduled"/>
    <n v="36.805"/>
    <n v="23934.522499999999"/>
  </r>
  <r>
    <x v="13"/>
    <m/>
    <m/>
    <d v="2024-07-22T00:00:00"/>
    <s v="Monday"/>
    <s v="100 East 10th Street"/>
    <n v="108.6"/>
    <n v="100.6"/>
    <n v="5"/>
    <n v="455"/>
    <s v="Scheduled"/>
    <n v="20.119999999999997"/>
    <n v="24035.122499999998"/>
  </r>
  <r>
    <x v="13"/>
    <m/>
    <m/>
    <d v="2024-07-26T00:00:00"/>
    <s v="Friday"/>
    <s v="100 East 10th Street"/>
    <n v="383.9"/>
    <n v="375.9"/>
    <n v="4"/>
    <n v="459"/>
    <s v="Scheduled"/>
    <n v="93.974999999999994"/>
    <n v="24411.022499999999"/>
  </r>
  <r>
    <x v="14"/>
    <m/>
    <m/>
    <d v="2024-07-30T00:00:00"/>
    <s v="Tuesday"/>
    <s v="100 East 10th Street"/>
    <n v="185.7"/>
    <n v="177.7"/>
    <n v="4"/>
    <n v="463"/>
    <s v="Scheduled"/>
    <n v="44.424999999999997"/>
    <n v="24588.7225"/>
  </r>
  <r>
    <x v="14"/>
    <m/>
    <m/>
    <d v="2024-08-02T00:00:00"/>
    <s v="Friday"/>
    <s v="100 East 10th Street"/>
    <n v="347.62"/>
    <n v="339.62"/>
    <n v="3"/>
    <n v="466"/>
    <s v="Scheduled"/>
    <n v="113.20666666666666"/>
    <n v="24928.342499999999"/>
  </r>
  <r>
    <x v="15"/>
    <m/>
    <m/>
    <d v="2024-08-08T00:00:00"/>
    <s v="Thursday"/>
    <s v="100 East 10th Street"/>
    <n v="340.3"/>
    <n v="332.3"/>
    <n v="6"/>
    <n v="472"/>
    <s v="Scheduled"/>
    <n v="55.383333333333333"/>
    <n v="25260.642499999998"/>
  </r>
  <r>
    <x v="16"/>
    <m/>
    <m/>
    <d v="2024-08-13T00:00:00"/>
    <s v="Tuesday"/>
    <s v="100 East 10th Street"/>
    <n v="189.44"/>
    <n v="181.44"/>
    <n v="5"/>
    <n v="477"/>
    <s v="Scheduled"/>
    <n v="36.287999999999997"/>
    <n v="25442.082499999997"/>
  </r>
  <r>
    <x v="17"/>
    <m/>
    <m/>
    <d v="2024-08-19T00:00:00"/>
    <s v="Monday"/>
    <s v="100 East 10th Street"/>
    <n v="507"/>
    <n v="499"/>
    <n v="6"/>
    <n v="483"/>
    <s v="Scheduled"/>
    <n v="83.166666666666671"/>
    <n v="25941.082499999997"/>
  </r>
  <r>
    <x v="18"/>
    <m/>
    <m/>
    <d v="2024-08-26T00:00:00"/>
    <s v="Monday"/>
    <s v="100 East 10th Street"/>
    <n v="172"/>
    <n v="164"/>
    <n v="7"/>
    <n v="490"/>
    <s v="Scheduled"/>
    <n v="23.428571428571427"/>
    <n v="26105.082499999997"/>
  </r>
  <r>
    <x v="18"/>
    <m/>
    <m/>
    <d v="2024-08-27T00:00:00"/>
    <s v="Tuesday"/>
    <s v="100 East 10th Street"/>
    <n v="153.9"/>
    <n v="145.9"/>
    <n v="1"/>
    <n v="491"/>
    <s v="Scheduled"/>
    <n v="145.9"/>
    <n v="26250.982499999998"/>
  </r>
  <r>
    <x v="18"/>
    <m/>
    <m/>
    <d v="2024-08-30T00:00:00"/>
    <s v="Friday"/>
    <s v="100 East 10th Street"/>
    <n v="171.78"/>
    <n v="163.78"/>
    <n v="3"/>
    <n v="494"/>
    <s v="Scheduled"/>
    <n v="54.593333333333334"/>
    <n v="26414.762499999997"/>
  </r>
  <r>
    <x v="19"/>
    <m/>
    <m/>
    <d v="2024-09-02T00:00:00"/>
    <s v="Monday"/>
    <s v="100 East 10th Street"/>
    <n v="268.62"/>
    <n v="260.62"/>
    <n v="3"/>
    <n v="497"/>
    <s v="Scheduled"/>
    <n v="86.873333333333335"/>
    <n v="26675.382499999996"/>
  </r>
  <r>
    <x v="19"/>
    <m/>
    <m/>
    <d v="2024-09-04T00:00:00"/>
    <s v="Wednesday"/>
    <s v="100 East 10th Street"/>
    <n v="165.36"/>
    <n v="157.36000000000001"/>
    <n v="2"/>
    <n v="499"/>
    <s v="Scheduled"/>
    <n v="78.680000000000007"/>
    <n v="26832.742499999997"/>
  </r>
  <r>
    <x v="20"/>
    <m/>
    <m/>
    <d v="2024-09-09T00:00:00"/>
    <s v="Monday"/>
    <s v="100 East 10th Street"/>
    <n v="337.86"/>
    <n v="329.86"/>
    <n v="5"/>
    <n v="504"/>
    <s v="Scheduled"/>
    <n v="65.972000000000008"/>
    <n v="27162.602499999997"/>
  </r>
  <r>
    <x v="29"/>
    <m/>
    <m/>
    <d v="2024-11-12T00:00:00"/>
    <s v="Tuesday"/>
    <s v="100 East 10th Street"/>
    <n v="526"/>
    <n v="518"/>
    <n v="64"/>
    <n v="568"/>
    <s v="Scheduled"/>
    <n v="8.09375"/>
    <n v="27680.602499999997"/>
  </r>
  <r>
    <x v="29"/>
    <m/>
    <m/>
    <d v="2024-11-15T00:00:00"/>
    <s v="Friday"/>
    <s v="100 East 10th Street"/>
    <n v="245.88000000000002"/>
    <n v="237.88000000000002"/>
    <n v="3"/>
    <n v="571"/>
    <s v="Scheduled"/>
    <n v="79.293333333333337"/>
    <n v="27918.482499999998"/>
  </r>
  <r>
    <x v="30"/>
    <m/>
    <m/>
    <d v="2024-11-17T00:00:00"/>
    <s v="Sunday"/>
    <s v="100 East 10th Street"/>
    <n v="203.5"/>
    <n v="195.5"/>
    <n v="2"/>
    <n v="573"/>
    <s v="Scheduled"/>
    <n v="97.75"/>
    <n v="28113.982499999998"/>
  </r>
  <r>
    <x v="30"/>
    <m/>
    <m/>
    <d v="2024-11-19T00:00:00"/>
    <s v="Tuesday"/>
    <s v="100 East 10th Street"/>
    <n v="82.66"/>
    <n v="74.66"/>
    <n v="2"/>
    <n v="575"/>
    <s v="Scheduled"/>
    <n v="37.33"/>
    <n v="28188.642499999998"/>
  </r>
  <r>
    <x v="30"/>
    <m/>
    <m/>
    <d v="2024-11-22T00:00:00"/>
    <s v="Friday"/>
    <s v="100 East 10th Street"/>
    <n v="179"/>
    <n v="171"/>
    <n v="3"/>
    <n v="578"/>
    <s v="Scheduled"/>
    <n v="57"/>
    <n v="28359.642499999998"/>
  </r>
  <r>
    <x v="31"/>
    <m/>
    <m/>
    <d v="2024-11-27T00:00:00"/>
    <s v="Wednesday"/>
    <s v="100 East 10th Street"/>
    <n v="189"/>
    <n v="181"/>
    <n v="5"/>
    <n v="583"/>
    <s v="Scheduled"/>
    <n v="36.200000000000003"/>
    <n v="28540.642499999998"/>
  </r>
  <r>
    <x v="31"/>
    <m/>
    <m/>
    <d v="2024-11-30T00:00:00"/>
    <s v="Saturday"/>
    <s v="100 East 10th Street"/>
    <n v="199"/>
    <n v="191"/>
    <n v="3"/>
    <n v="586"/>
    <s v="Scheduled"/>
    <n v="63.666666666666664"/>
    <n v="28731.642499999998"/>
  </r>
  <r>
    <x v="32"/>
    <m/>
    <m/>
    <d v="2024-12-05T00:00:00"/>
    <s v="Thursday"/>
    <s v="100 East 10th Street"/>
    <n v="200"/>
    <n v="192"/>
    <n v="5"/>
    <n v="591"/>
    <s v="Scheduled"/>
    <n v="38.4"/>
    <n v="28923.642499999998"/>
  </r>
  <r>
    <x v="33"/>
    <m/>
    <m/>
    <d v="2024-12-08T00:00:00"/>
    <s v="Sunday"/>
    <s v="100 East 10th Street"/>
    <n v="175"/>
    <n v="167"/>
    <n v="3"/>
    <n v="594"/>
    <s v="Scheduled"/>
    <n v="55.666666666666664"/>
    <n v="29090.642499999998"/>
  </r>
  <r>
    <x v="33"/>
    <m/>
    <m/>
    <d v="2024-12-11T00:00:00"/>
    <s v="Wednesday"/>
    <s v="100 East 10th Street"/>
    <n v="234.34000000000003"/>
    <n v="226.34000000000003"/>
    <n v="3"/>
    <n v="597"/>
    <s v="Scheduled"/>
    <n v="75.446666666666673"/>
    <n v="29316.982499999998"/>
  </r>
  <r>
    <x v="34"/>
    <m/>
    <m/>
    <d v="2024-12-16T00:00:00"/>
    <s v="Monday"/>
    <s v="100 East 10th Street"/>
    <n v="352.32000000000005"/>
    <n v="344.32000000000005"/>
    <n v="5"/>
    <n v="602"/>
    <s v="Store"/>
    <n v="68.864000000000004"/>
    <n v="29661.302499999998"/>
  </r>
  <r>
    <x v="35"/>
    <m/>
    <m/>
    <d v="2024-12-23T00:00:00"/>
    <s v="Monday"/>
    <s v="100 East 10th Street"/>
    <n v="260"/>
    <n v="252"/>
    <n v="7"/>
    <n v="609"/>
    <s v="Scheduled"/>
    <n v="36"/>
    <n v="29913.302499999998"/>
  </r>
  <r>
    <x v="35"/>
    <m/>
    <m/>
    <d v="2024-12-26T00:00:00"/>
    <s v="Thursday"/>
    <s v="100 East 10th Street"/>
    <n v="100"/>
    <n v="92"/>
    <n v="3"/>
    <n v="612"/>
    <s v="Scheduled"/>
    <n v="30.666666666666668"/>
    <n v="30005.302499999998"/>
  </r>
  <r>
    <x v="36"/>
    <m/>
    <m/>
    <d v="2025-01-04T00:00:00"/>
    <s v="Saturday"/>
    <s v="100 East 10th Street"/>
    <n v="103.74"/>
    <n v="95.74"/>
    <n v="9"/>
    <n v="621"/>
    <s v="Scheduled"/>
    <n v="10.637777777777778"/>
    <n v="30101.0425"/>
  </r>
  <r>
    <x v="37"/>
    <m/>
    <m/>
    <d v="2025-01-08T00:00:00"/>
    <s v="Wednesday"/>
    <s v="100 East 10th Street"/>
    <n v="371.78"/>
    <n v="363.78"/>
    <n v="4"/>
    <n v="625"/>
    <s v="Scheduled"/>
    <n v="90.944999999999993"/>
    <n v="30464.822499999998"/>
  </r>
  <r>
    <x v="38"/>
    <m/>
    <m/>
    <d v="2025-01-13T00:00:00"/>
    <s v="Monday"/>
    <s v="100 East 10th Street"/>
    <n v="273.55"/>
    <n v="265.55"/>
    <n v="5"/>
    <n v="630"/>
    <s v="Scheduled"/>
    <n v="53.11"/>
    <n v="30730.372499999998"/>
  </r>
  <r>
    <x v="39"/>
    <m/>
    <m/>
    <d v="2025-01-20T00:00:00"/>
    <s v="Monday"/>
    <s v="100 East 10th Street"/>
    <n v="360.6"/>
    <n v="352.6"/>
    <n v="7"/>
    <n v="637"/>
    <s v="Scheduled"/>
    <n v="50.371428571428574"/>
    <n v="31082.972499999996"/>
  </r>
  <r>
    <x v="39"/>
    <m/>
    <m/>
    <d v="2025-01-24T00:00:00"/>
    <s v="Friday"/>
    <s v="100 East 10th Street"/>
    <n v="264.56"/>
    <n v="256.56"/>
    <n v="4"/>
    <n v="641"/>
    <s v="Scheduled"/>
    <n v="64.14"/>
    <n v="31339.532499999998"/>
  </r>
  <r>
    <x v="40"/>
    <m/>
    <m/>
    <d v="2025-01-29T00:00:00"/>
    <s v="Wednesday"/>
    <s v="100 East 10th Street"/>
    <n v="294.77999999999997"/>
    <n v="286.77999999999997"/>
    <n v="5"/>
    <n v="646"/>
    <s v="Scheduled"/>
    <n v="57.355999999999995"/>
    <n v="31626.312499999996"/>
  </r>
  <r>
    <x v="41"/>
    <m/>
    <m/>
    <d v="2025-02-04T00:00:00"/>
    <s v="Tuesday"/>
    <s v="100 East 10th Street"/>
    <n v="294.88"/>
    <n v="286.88"/>
    <n v="6"/>
    <n v="652"/>
    <s v="Scheduled"/>
    <n v="47.813333333333333"/>
    <n v="31913.192499999997"/>
  </r>
  <r>
    <x v="41"/>
    <m/>
    <m/>
    <d v="2025-02-07T00:00:00"/>
    <s v="Friday"/>
    <s v="100 East 10th Street"/>
    <n v="344.02"/>
    <n v="336.02"/>
    <n v="3"/>
    <n v="655"/>
    <s v="Scheduled"/>
    <n v="112.00666666666666"/>
    <n v="32249.212499999998"/>
  </r>
  <r>
    <x v="42"/>
    <m/>
    <m/>
    <d v="2025-02-13T00:00:00"/>
    <s v="Thursday"/>
    <s v="100 East 10th Street"/>
    <n v="275.7"/>
    <n v="267.7"/>
    <n v="6"/>
    <n v="661"/>
    <s v="Scheduled"/>
    <n v="44.616666666666667"/>
    <n v="32516.912499999999"/>
  </r>
  <r>
    <x v="43"/>
    <m/>
    <m/>
    <d v="2025-02-18T00:00:00"/>
    <s v="Tuesday"/>
    <s v="100 East 10th Street"/>
    <n v="564.22"/>
    <n v="556.22"/>
    <n v="11"/>
    <n v="666"/>
    <s v="Scheduled"/>
    <n v="50.56545454545455"/>
    <n v="33073.1325"/>
  </r>
  <r>
    <x v="44"/>
    <m/>
    <m/>
    <d v="2025-03-01T00:00:00"/>
    <s v="Saturday"/>
    <s v="100 East 10th Street"/>
    <n v="533.88"/>
    <n v="525.88"/>
    <n v="11"/>
    <n v="677"/>
    <s v="Scheduled"/>
    <n v="47.807272727272725"/>
    <n v="33599.012499999997"/>
  </r>
  <r>
    <x v="45"/>
    <m/>
    <m/>
    <d v="2025-03-07T00:00:00"/>
    <s v="Friday"/>
    <s v="100 East 10th Street"/>
    <n v="271.43"/>
    <n v="263.43"/>
    <n v="6"/>
    <n v="683"/>
    <s v="Scheduled"/>
    <n v="43.905000000000001"/>
    <n v="33862.442499999997"/>
  </r>
  <r>
    <x v="46"/>
    <m/>
    <m/>
    <d v="2025-03-11T00:00:00"/>
    <s v="Tuesday"/>
    <s v="100 East 10th Street"/>
    <n v="145.22999999999999"/>
    <n v="137.22999999999999"/>
    <n v="4"/>
    <n v="687"/>
    <s v="Scheduled"/>
    <n v="34.307499999999997"/>
    <n v="33999.672500000001"/>
  </r>
  <r>
    <x v="47"/>
    <m/>
    <m/>
    <d v="2025-03-20T00:00:00"/>
    <s v="Thursday"/>
    <s v="100 East 10th Street"/>
    <n v="512.78"/>
    <n v="504.78"/>
    <n v="9"/>
    <n v="696"/>
    <s v="Scheduled"/>
    <n v="56.086666666666666"/>
    <n v="34504.452499999999"/>
  </r>
  <r>
    <x v="48"/>
    <m/>
    <m/>
    <d v="2025-03-26T00:00:00"/>
    <s v="Wednesday"/>
    <s v="100 East 10th Street"/>
    <n v="350.82"/>
    <n v="342.82"/>
    <n v="6"/>
    <n v="702"/>
    <s v="Scheduled"/>
    <n v="57.136666666666663"/>
    <n v="34847.272499999999"/>
  </r>
  <r>
    <x v="49"/>
    <m/>
    <m/>
    <d v="2025-04-02T00:00:00"/>
    <s v="Wednesday"/>
    <s v="100 East 10th Street"/>
    <n v="283.89999999999998"/>
    <n v="275.89999999999998"/>
    <n v="7"/>
    <n v="709"/>
    <s v="Scheduled"/>
    <n v="39.414285714285711"/>
    <n v="35123.172500000001"/>
  </r>
  <r>
    <x v="50"/>
    <m/>
    <m/>
    <d v="2025-04-07T00:00:00"/>
    <s v="Monday"/>
    <s v="100 East 10th Street"/>
    <n v="476.45000000000005"/>
    <n v="468.45000000000005"/>
    <n v="5"/>
    <n v="714"/>
    <s v="Scheduled"/>
    <n v="93.690000000000012"/>
    <n v="35591.622499999998"/>
  </r>
  <r>
    <x v="50"/>
    <m/>
    <m/>
    <d v="2025-04-11T00:00:00"/>
    <s v="Friday"/>
    <s v="100 East 10th Street"/>
    <n v="217.02"/>
    <n v="209.02"/>
    <n v="4"/>
    <n v="718"/>
    <s v="Scheduled"/>
    <n v="52.255000000000003"/>
    <n v="35800.642499999994"/>
  </r>
  <r>
    <x v="0"/>
    <m/>
    <m/>
    <d v="2025-04-21T00:00:00"/>
    <s v="Monday"/>
    <s v="100 East 10th Street"/>
    <n v="412.96000000000004"/>
    <n v="404.96000000000004"/>
    <n v="10"/>
    <n v="728"/>
    <s v="Scheduled"/>
    <n v="40.496000000000002"/>
    <n v="36205.602499999994"/>
  </r>
  <r>
    <x v="1"/>
    <m/>
    <m/>
    <d v="2025-04-29T00:00:00"/>
    <s v="Tuesday"/>
    <s v="100 East 10th Street"/>
    <n v="401.98"/>
    <n v="393.98"/>
    <n v="8"/>
    <n v="736"/>
    <s v="Scheduled"/>
    <n v="49.247500000000002"/>
    <n v="36599.582499999997"/>
  </r>
  <r>
    <x v="2"/>
    <m/>
    <m/>
    <d v="2025-05-07T00:00:00"/>
    <s v="Wednesday"/>
    <s v="100 East 10th Street"/>
    <n v="369.20000000000005"/>
    <n v="361.20000000000005"/>
    <n v="8"/>
    <n v="744"/>
    <s v="Scheduled"/>
    <n v="45.150000000000006"/>
    <n v="36960.782499999994"/>
  </r>
  <r>
    <x v="3"/>
    <m/>
    <m/>
    <d v="2025-05-14T00:00:00"/>
    <s v="Wednesday"/>
    <s v="100 East 10th Street"/>
    <n v="399.4"/>
    <n v="391.4"/>
    <n v="7"/>
    <n v="751"/>
    <s v="Scheduled"/>
    <n v="55.914285714285711"/>
    <n v="37352.182499999995"/>
  </r>
  <r>
    <x v="4"/>
    <m/>
    <m/>
    <d v="2025-05-20T00:00:00"/>
    <s v="Tuesday"/>
    <s v="100 East 10th Street"/>
    <n v="294.32"/>
    <n v="286.32"/>
    <n v="6"/>
    <n v="757"/>
    <s v="Scheduled"/>
    <n v="47.72"/>
    <n v="37638.502499999995"/>
  </r>
  <r>
    <x v="5"/>
    <m/>
    <m/>
    <d v="2025-05-27T00:00:00"/>
    <s v="Tuesday"/>
    <s v="100 East 10th Street"/>
    <n v="372.74"/>
    <n v="364.74"/>
    <n v="7"/>
    <n v="764"/>
    <s v="Scheduled"/>
    <n v="52.105714285714285"/>
    <n v="38003.242499999993"/>
  </r>
  <r>
    <x v="6"/>
    <m/>
    <m/>
    <d v="2025-06-03T00:00:00"/>
    <s v="Tuesday"/>
    <s v="100 East 10th Street"/>
    <n v="269.43"/>
    <n v="261.43"/>
    <n v="7"/>
    <n v="771"/>
    <s v="Scheduled"/>
    <n v="37.347142857142856"/>
    <n v="38264.672499999993"/>
  </r>
  <r>
    <x v="7"/>
    <m/>
    <m/>
    <d v="2025-06-10T00:00:00"/>
    <s v="Tuesday"/>
    <s v="100 East 10th Street"/>
    <n v="294.12"/>
    <n v="286.12"/>
    <n v="7"/>
    <n v="778"/>
    <s v="Scheduled"/>
    <n v="40.874285714285712"/>
    <n v="38550.792499999996"/>
  </r>
  <r>
    <x v="8"/>
    <m/>
    <m/>
    <d v="2025-06-18T00:00:00"/>
    <s v="Wednesday"/>
    <s v="100 East 10th Street"/>
    <n v="395.18"/>
    <n v="387.18"/>
    <n v="8"/>
    <n v="786"/>
    <s v="Scheduled"/>
    <n v="48.397500000000001"/>
    <n v="38937.972499999996"/>
  </r>
  <r>
    <x v="9"/>
    <m/>
    <m/>
    <d v="2025-06-25T00:00:00"/>
    <s v="Wednesday"/>
    <s v="100 East 10th Street"/>
    <n v="361.9"/>
    <n v="353.9"/>
    <n v="7"/>
    <n v="793"/>
    <s v="Scheduled"/>
    <n v="50.557142857142857"/>
    <n v="39291.872499999998"/>
  </r>
  <r>
    <x v="10"/>
    <m/>
    <m/>
    <d v="2025-07-01T00:00:00"/>
    <s v="Tuesday"/>
    <s v="100 East 10th Street"/>
    <n v="92.42"/>
    <n v="84.42"/>
    <n v="6"/>
    <n v="799"/>
    <s v="Scheduled"/>
    <n v="14.07"/>
    <n v="39376.292499999996"/>
  </r>
  <r>
    <x v="31"/>
    <m/>
    <m/>
    <d v="2025-11-24T00:00:00"/>
    <s v="Monday"/>
    <s v="100 East 10th Street"/>
    <n v="300.84000000000003"/>
    <n v="292.84000000000003"/>
    <n v="146"/>
    <n v="945"/>
    <s v="Scheduled"/>
    <n v="2.0057534246575344"/>
    <n v="39669.132499999992"/>
  </r>
  <r>
    <x v="32"/>
    <m/>
    <m/>
    <d v="2025-12-01T00:00:00"/>
    <s v="Monday"/>
    <s v="100 East 10th Street"/>
    <n v="380.2"/>
    <n v="372.2"/>
    <n v="7"/>
    <n v="952"/>
    <s v="Scheduled"/>
    <n v="53.171428571428571"/>
    <n v="40041.33249999999"/>
  </r>
  <r>
    <x v="33"/>
    <m/>
    <m/>
    <d v="2025-12-08T00:00:00"/>
    <s v="Monday"/>
    <s v="100 East 10th Street"/>
    <n v="389.28"/>
    <n v="381.28"/>
    <n v="7"/>
    <n v="959"/>
    <s v="Scheduled"/>
    <n v="54.468571428571423"/>
    <n v="40422.612499999988"/>
  </r>
  <r>
    <x v="33"/>
    <m/>
    <m/>
    <d v="2025-12-12T00:00:00"/>
    <s v="Friday"/>
    <s v="100 East 10th Street"/>
    <n v="293.22000000000003"/>
    <n v="285.22000000000003"/>
    <n v="4"/>
    <n v="963"/>
    <s v="Store"/>
    <n v="71.305000000000007"/>
    <n v="40707.83249999999"/>
  </r>
  <r>
    <x v="34"/>
    <m/>
    <m/>
    <d v="2025-12-15T00:00:00"/>
    <s v="Monday"/>
    <s v="100 East 10th Street"/>
    <n v="198"/>
    <n v="190"/>
    <n v="3"/>
    <n v="966"/>
    <s v="Scheduled"/>
    <n v="63.333333333333336"/>
    <n v="40897.83249999999"/>
  </r>
  <r>
    <x v="35"/>
    <m/>
    <m/>
    <d v="2025-12-22T00:00:00"/>
    <s v="Monday"/>
    <s v="100 East 10th Street"/>
    <n v="365.62"/>
    <n v="357.62"/>
    <n v="7"/>
    <n v="973"/>
    <s v="Scheduled"/>
    <n v="51.088571428571427"/>
    <n v="41255.452499999992"/>
  </r>
  <r>
    <x v="35"/>
    <m/>
    <m/>
    <d v="2025-12-27T00:00:00"/>
    <s v="Saturday"/>
    <s v="100 East 10th Street"/>
    <n v="145.04"/>
    <n v="137.04"/>
    <n v="5"/>
    <n v="978"/>
    <s v="Store"/>
    <n v="27.407999999999998"/>
    <n v="41392.492499999993"/>
  </r>
  <r>
    <x v="52"/>
    <m/>
    <m/>
    <d v="2025-12-29T00:00:00"/>
    <s v="Monday"/>
    <s v="100 East 10th Street"/>
    <n v="205.22"/>
    <n v="197.22"/>
    <n v="2"/>
    <n v="980"/>
    <s v="Scheduled"/>
    <n v="98.61"/>
    <n v="41589.712499999994"/>
  </r>
  <r>
    <x v="36"/>
    <m/>
    <m/>
    <d v="2026-01-05T00:00:00"/>
    <s v="Monday"/>
    <s v="100 East 10th Street"/>
    <n v="326.39999999999998"/>
    <n v="318.39999999999998"/>
    <n v="7"/>
    <n v="987"/>
    <s v="Scheduled"/>
    <n v="45.48571428571428"/>
    <n v="58635.442500000005"/>
  </r>
  <r>
    <x v="37"/>
    <m/>
    <m/>
    <d v="2026-01-12T00:00:00"/>
    <s v="Monday"/>
    <s v="Greenville Blvd &amp; Red Banks Rd"/>
    <n v="131.54"/>
    <n v="123.53999999999999"/>
    <n v="7"/>
    <n v="994"/>
    <s v="Scheduled"/>
    <n v="17.648571428571426"/>
    <n v="42031.652499999997"/>
  </r>
  <r>
    <x v="37"/>
    <m/>
    <m/>
    <d v="2026-01-12T00:00:00"/>
    <s v="Monday"/>
    <s v="100 East 10th Street"/>
    <n v="345.44"/>
    <n v="337.44"/>
    <n v="7"/>
    <n v="994"/>
    <s v="Scheduled"/>
    <n v="48.205714285714286"/>
    <n v="42369.092499999999"/>
  </r>
  <r>
    <x v="37"/>
    <m/>
    <m/>
    <d v="2026-01-12T00:00:00"/>
    <s v="Monday"/>
    <s v="Stanton Sq &amp; Arlington Dr"/>
    <n v="59.78"/>
    <n v="51.78"/>
    <n v="7"/>
    <n v="994"/>
    <s v="Scheduled"/>
    <n v="7.3971428571428577"/>
    <n v="42420.872499999998"/>
  </r>
  <r>
    <x v="39"/>
    <m/>
    <m/>
    <d v="2026-01-19T00:00:00"/>
    <s v="Monday"/>
    <s v="Greenville Blvd &amp; Red Banks Rd"/>
    <n v="224.56"/>
    <n v="216.56"/>
    <n v="7"/>
    <n v="1001"/>
    <s v="Scheduled"/>
    <n v="30.937142857142856"/>
    <n v="42637.432499999995"/>
  </r>
  <r>
    <x v="39"/>
    <m/>
    <m/>
    <d v="2026-01-19T00:00:00"/>
    <s v="Monday"/>
    <s v="100 East 10th Street"/>
    <n v="426.98"/>
    <n v="418.98"/>
    <n v="7"/>
    <n v="1001"/>
    <s v="Scheduled"/>
    <n v="59.854285714285716"/>
    <n v="43056.412499999999"/>
  </r>
  <r>
    <x v="39"/>
    <m/>
    <m/>
    <d v="2026-01-19T00:00:00"/>
    <s v="Monday"/>
    <s v="Stanton Sq &amp; Arlington Dr"/>
    <n v="378.88"/>
    <n v="370.88"/>
    <n v="7"/>
    <n v="1001"/>
    <s v="Scheduled"/>
    <n v="52.982857142857142"/>
    <n v="43427.292499999996"/>
  </r>
  <r>
    <x v="40"/>
    <m/>
    <m/>
    <d v="2026-01-26T00:00:00"/>
    <s v="Monday"/>
    <s v="Greenville Blvd &amp; Red Banks Rd"/>
    <n v="248.76"/>
    <n v="240.76"/>
    <n v="7"/>
    <n v="1008"/>
    <s v="Scheduled"/>
    <n v="34.394285714285715"/>
    <n v="43668.052499999998"/>
  </r>
  <r>
    <x v="40"/>
    <m/>
    <m/>
    <s v="1/26/2026"/>
    <s v="Monday"/>
    <s v="100 East 10th Street"/>
    <n v="388.78"/>
    <n v="380.78"/>
    <n v="7"/>
    <n v="1008"/>
    <s v="Scheduled"/>
    <n v="54.397142857142853"/>
    <n v="44048.832499999997"/>
  </r>
  <r>
    <x v="40"/>
    <m/>
    <m/>
    <s v="1/26/2026"/>
    <s v="Monday"/>
    <s v="Stanton Sq &amp; Arlington Dr"/>
    <n v="148.88"/>
    <n v="140.88"/>
    <n v="7"/>
    <n v="1008"/>
    <s v="Scheduled"/>
    <n v="20.125714285714285"/>
    <n v="44189.712499999994"/>
  </r>
  <r>
    <x v="41"/>
    <m/>
    <m/>
    <d v="2026-02-02T00:00:00"/>
    <s v="Monday"/>
    <s v="Greenville Blvd &amp; Red Banks Rd"/>
    <n v="248.48"/>
    <n v="240.48"/>
    <n v="7"/>
    <n v="1015"/>
    <s v="Scheduled"/>
    <n v="34.354285714285716"/>
    <n v="44430.192499999997"/>
  </r>
  <r>
    <x v="41"/>
    <m/>
    <m/>
    <d v="2026-02-02T00:00:00"/>
    <s v="Monday"/>
    <s v="100 East 10th Street"/>
    <n v="204.88"/>
    <n v="196.88"/>
    <n v="7"/>
    <n v="1015"/>
    <s v="Scheduled"/>
    <n v="28.125714285714285"/>
    <n v="44627.072499999995"/>
  </r>
  <r>
    <x v="41"/>
    <m/>
    <m/>
    <d v="2026-02-02T00:00:00"/>
    <s v="Monday"/>
    <s v="Stanton Sq &amp; Arlington Dr"/>
    <n v="437.3"/>
    <n v="429.3"/>
    <n v="7"/>
    <n v="1015"/>
    <s v="Scheduled"/>
    <n v="61.328571428571429"/>
    <n v="45056.372499999998"/>
  </r>
  <r>
    <x v="41"/>
    <m/>
    <m/>
    <d v="2026-02-04T00:00:00"/>
    <s v="Wednesday"/>
    <s v="Stanton Sq &amp; Arlington Dr"/>
    <n v="54.92"/>
    <n v="46.92"/>
    <n v="2"/>
    <n v="1017"/>
    <s v="Me"/>
    <n v="23.46"/>
    <n v="45103.292499999996"/>
  </r>
  <r>
    <x v="42"/>
    <m/>
    <m/>
    <d v="2026-02-09T00:00:00"/>
    <s v="Monday"/>
    <s v="Greenville Blvd &amp; Red Banks Rd"/>
    <n v="248.16"/>
    <n v="240.16"/>
    <n v="7"/>
    <n v="1022"/>
    <s v="Scheduled"/>
    <n v="34.308571428571426"/>
    <n v="45343.452499999999"/>
  </r>
  <r>
    <x v="42"/>
    <m/>
    <m/>
    <d v="2026-02-09T00:00:00"/>
    <s v="Monday"/>
    <s v="100 East 10th Street"/>
    <n v="508.85999999999996"/>
    <n v="500.85999999999996"/>
    <n v="7"/>
    <n v="1022"/>
    <s v="Scheduled"/>
    <n v="71.551428571428559"/>
    <n v="45844.3125"/>
  </r>
  <r>
    <x v="42"/>
    <m/>
    <m/>
    <d v="2026-02-09T00:00:00"/>
    <s v="Monday"/>
    <s v="Stanton Sq &amp; Arlington Dr"/>
    <n v="313.12"/>
    <n v="305.12"/>
    <n v="5"/>
    <n v="1022"/>
    <s v="Scheduled"/>
    <n v="61.024000000000001"/>
    <n v="46149.432500000003"/>
  </r>
  <r>
    <x v="43"/>
    <m/>
    <m/>
    <d v="2026-02-16T00:00:00"/>
    <s v="Monday"/>
    <s v="Greenville Blvd &amp; Red Banks Rd"/>
    <n v="186.6"/>
    <n v="178.6"/>
    <n v="7"/>
    <n v="1029"/>
    <s v="Scheduled"/>
    <n v="25.514285714285712"/>
    <n v="46328.032500000001"/>
  </r>
  <r>
    <x v="43"/>
    <m/>
    <m/>
    <d v="2026-02-16T00:00:00"/>
    <s v="Monday"/>
    <s v="100 East 10th Street"/>
    <n v="373.56"/>
    <n v="365.56"/>
    <n v="7"/>
    <n v="1029"/>
    <s v="Scheduled"/>
    <n v="52.222857142857144"/>
    <n v="46693.592499999999"/>
  </r>
  <r>
    <x v="43"/>
    <m/>
    <m/>
    <d v="2026-02-16T00:00:00"/>
    <s v="Monday"/>
    <s v="Stanton Sq &amp; Arlington Dr"/>
    <n v="497.26"/>
    <n v="489.26"/>
    <n v="7"/>
    <n v="1029"/>
    <s v="Scheduled"/>
    <n v="69.894285714285715"/>
    <n v="47182.852500000001"/>
  </r>
  <r>
    <x v="44"/>
    <m/>
    <m/>
    <d v="2026-02-23T00:00:00"/>
    <s v="Monday"/>
    <s v="Greenville Blvd &amp; Red Banks Rd"/>
    <n v="294.18"/>
    <n v="286.18"/>
    <n v="7"/>
    <n v="1036"/>
    <s v="Scheduled"/>
    <n v="40.882857142857141"/>
    <n v="47469.032500000001"/>
  </r>
  <r>
    <x v="44"/>
    <m/>
    <m/>
    <d v="2026-02-23T00:00:00"/>
    <s v="Monday"/>
    <s v="100 East 10th Street"/>
    <n v="422.36"/>
    <n v="414.36"/>
    <n v="7"/>
    <n v="1036"/>
    <s v="Scheduled"/>
    <n v="59.194285714285719"/>
    <n v="47883.392500000002"/>
  </r>
  <r>
    <x v="44"/>
    <m/>
    <m/>
    <d v="2026-02-23T00:00:00"/>
    <s v="Monday"/>
    <s v="Stanton Sq &amp; Arlington Dr"/>
    <n v="471.72"/>
    <n v="463.72"/>
    <n v="7"/>
    <n v="1036"/>
    <s v="Scheduled"/>
    <n v="66.245714285714286"/>
    <n v="48347.112500000003"/>
  </r>
  <r>
    <x v="44"/>
    <m/>
    <m/>
    <d v="2026-02-28T00:00:00"/>
    <s v="Saturday"/>
    <s v="100 East 10th Street"/>
    <n v="361.18"/>
    <n v="353.18"/>
    <n v="5"/>
    <n v="1041"/>
    <s v="Store"/>
    <n v="70.635999999999996"/>
    <n v="48700.292500000003"/>
  </r>
  <r>
    <x v="44"/>
    <m/>
    <m/>
    <d v="2026-02-28T00:00:00"/>
    <s v="Saturday"/>
    <s v="Stanton Sq &amp; Arlington Dr"/>
    <n v="358.41999999999996"/>
    <n v="350.41999999999996"/>
    <n v="5"/>
    <n v="1041"/>
    <s v="Me"/>
    <n v="70.083999999999989"/>
    <n v="49050.712500000001"/>
  </r>
  <r>
    <x v="45"/>
    <m/>
    <m/>
    <d v="2026-03-02T00:00:00"/>
    <s v="Monday"/>
    <s v="Greenville Blvd &amp; Red Banks Rd"/>
    <n v="268.68"/>
    <n v="260.68"/>
    <n v="7"/>
    <n v="1043"/>
    <s v="Scheduled"/>
    <n v="37.24"/>
    <n v="58635.442500000005"/>
  </r>
  <r>
    <x v="46"/>
    <m/>
    <m/>
    <d v="2026-03-09T00:00:00"/>
    <s v="Monday"/>
    <s v="Greenville Blvd &amp; Red Banks Rd"/>
    <n v="211.49"/>
    <n v="203.49"/>
    <n v="7"/>
    <n v="1050"/>
    <s v="Scheduled"/>
    <n v="29.07"/>
    <n v="49514.8825"/>
  </r>
  <r>
    <x v="46"/>
    <m/>
    <m/>
    <d v="2026-03-09T00:00:00"/>
    <s v="Monday"/>
    <s v="Stanton Sq &amp; Arlington Dr"/>
    <n v="527.48"/>
    <n v="519.48"/>
    <n v="9"/>
    <n v="1050"/>
    <s v="Scheduled"/>
    <n v="57.72"/>
    <n v="50034.362500000003"/>
  </r>
  <r>
    <x v="46"/>
    <m/>
    <m/>
    <d v="2026-03-09T00:00:00"/>
    <s v="Monday"/>
    <s v="100 East 10th Street"/>
    <n v="457.5"/>
    <n v="449.5"/>
    <n v="9"/>
    <n v="1050"/>
    <s v="Scheduled"/>
    <n v="49.944444444444443"/>
    <n v="50483.862500000003"/>
  </r>
  <r>
    <x v="47"/>
    <m/>
    <m/>
    <d v="2026-03-16T00:00:00"/>
    <s v="Monday"/>
    <s v="100 East 10th Street"/>
    <n v="295.38"/>
    <n v="287.38"/>
    <n v="7"/>
    <n v="1057"/>
    <s v="Scheduled"/>
    <n v="41.054285714285712"/>
    <n v="50771.2425"/>
  </r>
  <r>
    <x v="47"/>
    <m/>
    <m/>
    <d v="2026-03-16T00:00:00"/>
    <s v="Monday"/>
    <s v="Stanton Sq &amp; Arlington Dr"/>
    <n v="313.06"/>
    <n v="305.06"/>
    <n v="7"/>
    <n v="1057"/>
    <s v="Scheduled"/>
    <n v="43.58"/>
    <n v="51076.302499999998"/>
  </r>
  <r>
    <x v="47"/>
    <m/>
    <m/>
    <d v="2026-03-16T00:00:00"/>
    <s v="Monday"/>
    <s v="Greenville Blvd &amp; Red Banks Rd"/>
    <n v="254.82"/>
    <n v="246.82"/>
    <n v="7"/>
    <n v="1057"/>
    <s v="Scheduled"/>
    <n v="35.26"/>
    <n v="51323.122499999998"/>
  </r>
  <r>
    <x v="48"/>
    <m/>
    <m/>
    <d v="2026-03-22T00:00:00"/>
    <s v="Sunday"/>
    <s v="100 East 10th Street"/>
    <n v="377.42"/>
    <n v="369.42"/>
    <n v="6"/>
    <n v="1063"/>
    <s v="Store"/>
    <n v="61.57"/>
    <n v="58635.442500000005"/>
  </r>
  <r>
    <x v="48"/>
    <m/>
    <m/>
    <d v="2026-03-23T00:00:00"/>
    <s v="Monday"/>
    <s v="Greenville Blvd &amp; Red Banks Rd"/>
    <n v="227.62"/>
    <n v="219.62"/>
    <n v="7"/>
    <n v="1064"/>
    <s v="Scheduled"/>
    <n v="31.374285714285715"/>
    <n v="51912.162499999999"/>
  </r>
  <r>
    <x v="48"/>
    <m/>
    <m/>
    <d v="2026-03-23T00:00:00"/>
    <s v="Monday"/>
    <s v="Stanton Sq &amp; Arlington Dr"/>
    <n v="406.3"/>
    <n v="398.3"/>
    <n v="7"/>
    <n v="1064"/>
    <s v="Scheduled"/>
    <n v="56.9"/>
    <n v="52310.462500000001"/>
  </r>
  <r>
    <x v="49"/>
    <m/>
    <m/>
    <d v="2026-03-30T00:00:00"/>
    <s v="Monday"/>
    <s v="Greenville Blvd &amp; Red Banks Rd"/>
    <n v="247.40000000000003"/>
    <n v="239.40000000000003"/>
    <n v="7"/>
    <n v="1071"/>
    <s v="Scheduled"/>
    <n v="34.200000000000003"/>
    <n v="52549.862500000003"/>
  </r>
  <r>
    <x v="49"/>
    <m/>
    <m/>
    <d v="2026-03-30T00:00:00"/>
    <s v="Monday"/>
    <s v="100 East 10th Street"/>
    <n v="595.07999999999993"/>
    <n v="587.07999999999993"/>
    <n v="7"/>
    <n v="1071"/>
    <s v="Scheduled"/>
    <n v="83.868571428571414"/>
    <n v="53136.942500000005"/>
  </r>
  <r>
    <x v="49"/>
    <m/>
    <m/>
    <d v="2026-03-30T00:00:00"/>
    <s v="Monday"/>
    <s v="Stanton Sq &amp; Arlington Dr"/>
    <n v="380.65999999999997"/>
    <n v="372.65999999999997"/>
    <n v="7"/>
    <n v="1071"/>
    <s v="Scheduled"/>
    <n v="53.23714285714285"/>
    <n v="53509.602500000008"/>
  </r>
  <r>
    <x v="50"/>
    <m/>
    <m/>
    <d v="2026-04-06T00:00:00"/>
    <s v="Monday"/>
    <s v="Greenville Blvd &amp; Red Banks Rd"/>
    <n v="244.56"/>
    <n v="236.56"/>
    <n v="7"/>
    <n v="1078"/>
    <s v="Scheduled"/>
    <n v="33.794285714285714"/>
    <n v="53746.162500000006"/>
  </r>
  <r>
    <x v="50"/>
    <m/>
    <m/>
    <d v="2026-04-06T00:00:00"/>
    <s v="Monday"/>
    <s v="100 East 10th Street"/>
    <n v="405.96000000000004"/>
    <n v="397.96000000000004"/>
    <n v="7"/>
    <n v="1078"/>
    <s v="Scheduled"/>
    <n v="56.851428571428578"/>
    <n v="54144.122500000005"/>
  </r>
  <r>
    <x v="50"/>
    <m/>
    <m/>
    <d v="2026-04-06T00:00:00"/>
    <s v="Monday"/>
    <s v="Stanton Sq &amp; Arlington Dr"/>
    <n v="341.62"/>
    <n v="333.62"/>
    <n v="7"/>
    <n v="1078"/>
    <s v="Scheduled"/>
    <n v="47.660000000000004"/>
    <n v="54477.742500000008"/>
  </r>
  <r>
    <x v="51"/>
    <m/>
    <m/>
    <d v="2026-04-13T00:00:00"/>
    <s v="Monday"/>
    <s v="Greenville Blvd &amp; Red Banks Rd"/>
    <n v="201.5"/>
    <n v="193.5"/>
    <n v="7"/>
    <n v="1085"/>
    <s v="Scheduled"/>
    <n v="27.642857142857142"/>
    <n v="54671.242500000008"/>
  </r>
  <r>
    <x v="51"/>
    <m/>
    <m/>
    <d v="2026-04-13T00:00:00"/>
    <s v="Monday"/>
    <s v="100 East 10th Street"/>
    <n v="414.9"/>
    <n v="406.9"/>
    <n v="7"/>
    <n v="1085"/>
    <s v="Scheduled"/>
    <n v="58.128571428571426"/>
    <n v="55078.142500000009"/>
  </r>
  <r>
    <x v="51"/>
    <m/>
    <m/>
    <d v="2026-04-13T00:00:00"/>
    <s v="Monday"/>
    <s v="Stanton Sq &amp; Arlington Dr"/>
    <n v="453.74"/>
    <n v="445.74"/>
    <n v="7"/>
    <n v="1085"/>
    <s v="Scheduled"/>
    <n v="63.677142857142861"/>
    <n v="55523.882500000007"/>
  </r>
  <r>
    <x v="0"/>
    <m/>
    <m/>
    <d v="2026-04-20T00:00:00"/>
    <s v="Monday"/>
    <s v="100 East 10th Street"/>
    <n v="490.96"/>
    <n v="482.96"/>
    <n v="7"/>
    <n v="1092"/>
    <s v="Scheduled"/>
    <n v="68.994285714285709"/>
    <n v="56006.842500000006"/>
  </r>
  <r>
    <x v="0"/>
    <m/>
    <m/>
    <d v="2026-04-20T00:00:00"/>
    <s v="Monday"/>
    <s v="Greenville Blvd &amp; Red Banks Rd"/>
    <n v="249.07999999999998"/>
    <n v="241.07999999999998"/>
    <n v="7"/>
    <n v="1092"/>
    <s v="Scheduled"/>
    <n v="34.44"/>
    <n v="56247.922500000008"/>
  </r>
  <r>
    <x v="0"/>
    <m/>
    <m/>
    <d v="2026-04-20T00:00:00"/>
    <s v="Monday"/>
    <s v="Stanton Sq &amp; Arlington Dr"/>
    <n v="480.17999999999995"/>
    <n v="472.17999999999995"/>
    <n v="7"/>
    <n v="1092"/>
    <s v="Scheduled"/>
    <n v="67.454285714285703"/>
    <n v="56720.102500000008"/>
  </r>
  <r>
    <x v="1"/>
    <m/>
    <m/>
    <d v="2026-04-27T00:00:00"/>
    <s v="Monday"/>
    <s v="Greenville Blvd &amp; Red Banks Rd"/>
    <n v="224.86"/>
    <n v="216.86"/>
    <n v="7"/>
    <n v="1099"/>
    <s v="Scheduled"/>
    <n v="30.98"/>
    <n v="56936.962500000009"/>
  </r>
  <r>
    <x v="1"/>
    <m/>
    <m/>
    <d v="2026-04-27T00:00:00"/>
    <s v="Monday"/>
    <s v="100 East 10th Street"/>
    <n v="377.84"/>
    <n v="369.84"/>
    <n v="7"/>
    <n v="1099"/>
    <s v="Scheduled"/>
    <n v="52.834285714285713"/>
    <n v="57306.802500000005"/>
  </r>
  <r>
    <x v="1"/>
    <m/>
    <m/>
    <d v="2026-04-27T00:00:00"/>
    <s v="Monday"/>
    <s v="Stanton Sq &amp; Arlington Dr"/>
    <n v="312.74"/>
    <n v="304.74"/>
    <n v="7"/>
    <n v="1099"/>
    <s v="Scheduled"/>
    <n v="43.534285714285716"/>
    <n v="57611.542500000003"/>
  </r>
  <r>
    <x v="2"/>
    <m/>
    <m/>
    <d v="2026-05-04T00:00:00"/>
    <s v="Monday"/>
    <s v="Greenville Blvd &amp; Red Banks Rd"/>
    <n v="269.86"/>
    <n v="261.86"/>
    <n v="7"/>
    <n v="1106"/>
    <s v="Scheduled"/>
    <n v="37.408571428571427"/>
    <n v="57873.402500000004"/>
  </r>
  <r>
    <x v="2"/>
    <m/>
    <m/>
    <d v="2026-05-04T00:00:00"/>
    <s v="Monday"/>
    <s v="100 East 10th Street"/>
    <n v="511.45999999999992"/>
    <n v="503.45999999999992"/>
    <n v="7"/>
    <n v="1106"/>
    <s v="Scheduled"/>
    <n v="71.922857142857126"/>
    <n v="58376.862500000003"/>
  </r>
  <r>
    <x v="2"/>
    <m/>
    <m/>
    <d v="2026-05-04T00:00:00"/>
    <s v="Monday"/>
    <s v="Stanton Sq &amp; Arlington Dr"/>
    <n v="266.58"/>
    <n v="258.58"/>
    <n v="7"/>
    <n v="1106"/>
    <s v="Scheduled"/>
    <n v="36.94"/>
    <n v="58635.442500000005"/>
  </r>
  <r>
    <x v="53"/>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
  <r>
    <n v="17"/>
    <n v="30"/>
    <d v="2023-07-25T00:00:00"/>
    <x v="0"/>
    <s v="Monday"/>
    <s v="100 East 10th Street"/>
    <n v="59.6"/>
    <n v="51.6"/>
    <m/>
    <n v="0"/>
    <s v="Scheduled"/>
    <n v="51.6"/>
    <n v="51.6"/>
    <n v="0"/>
  </r>
  <r>
    <n v="17"/>
    <n v="30"/>
    <d v="2023-07-28T00:00:00"/>
    <x v="1"/>
    <s v="Thursday"/>
    <s v="100 East 10th Street"/>
    <n v="97.1"/>
    <n v="89.1"/>
    <n v="3"/>
    <n v="3"/>
    <s v="Store"/>
    <n v="29.7"/>
    <n v="140.69999999999999"/>
    <n v="0"/>
  </r>
  <r>
    <n v="18"/>
    <n v="31"/>
    <d v="2023-08-04T00:00:00"/>
    <x v="2"/>
    <s v="Thursday"/>
    <s v="100 East 10th Street"/>
    <n v="141.30000000000001"/>
    <n v="133.30000000000001"/>
    <n v="7"/>
    <n v="10"/>
    <s v="Store"/>
    <n v="19.042857142857144"/>
    <n v="274"/>
    <n v="0"/>
  </r>
  <r>
    <n v="18"/>
    <n v="32"/>
    <d v="2023-08-06T00:00:00"/>
    <x v="3"/>
    <s v="Saturday"/>
    <s v="100 East 10th Street"/>
    <n v="70.599999999999994"/>
    <n v="62.599999999999994"/>
    <n v="2"/>
    <n v="12"/>
    <s v="Store"/>
    <n v="31.299999999999997"/>
    <n v="336.6"/>
    <n v="0"/>
  </r>
  <r>
    <n v="19"/>
    <n v="32"/>
    <d v="2023-08-12T00:00:00"/>
    <x v="4"/>
    <s v="Friday"/>
    <s v="100 East 10th Street"/>
    <n v="136.4"/>
    <n v="128.4"/>
    <n v="6"/>
    <n v="18"/>
    <s v="Store"/>
    <n v="21.400000000000002"/>
    <n v="465"/>
    <n v="0"/>
  </r>
  <r>
    <n v="20"/>
    <n v="33"/>
    <d v="2023-08-15T00:00:00"/>
    <x v="5"/>
    <s v="Monday"/>
    <s v="100 East 10th Street"/>
    <n v="79.5"/>
    <n v="71.5"/>
    <n v="3"/>
    <n v="21"/>
    <s v="Scheduled"/>
    <n v="23.833333333333332"/>
    <n v="536.5"/>
    <n v="0"/>
  </r>
  <r>
    <n v="20"/>
    <n v="34"/>
    <d v="2023-08-20T00:00:00"/>
    <x v="6"/>
    <s v="Saturday"/>
    <s v="100 East 10th Street"/>
    <n v="104.1"/>
    <n v="96.1"/>
    <n v="5"/>
    <n v="26"/>
    <s v="Store"/>
    <n v="19.22"/>
    <n v="632.6"/>
    <n v="0"/>
  </r>
  <r>
    <n v="21"/>
    <n v="34"/>
    <d v="2023-08-23T00:00:00"/>
    <x v="7"/>
    <s v="Tuesday"/>
    <s v="100 East 10th Street"/>
    <n v="165.2"/>
    <n v="157.19999999999999"/>
    <n v="3"/>
    <n v="29"/>
    <s v="Store"/>
    <n v="52.4"/>
    <n v="789.8"/>
    <n v="0"/>
  </r>
  <r>
    <n v="21"/>
    <n v="34"/>
    <d v="2023-08-26T00:00:00"/>
    <x v="8"/>
    <s v="Friday"/>
    <s v="100 East 10th Street"/>
    <n v="166.5"/>
    <n v="158.5"/>
    <n v="3"/>
    <n v="32"/>
    <s v="Store"/>
    <n v="52.833333333333336"/>
    <n v="948.3"/>
    <n v="0"/>
  </r>
  <r>
    <n v="22"/>
    <n v="35"/>
    <d v="2023-08-31T00:00:00"/>
    <x v="9"/>
    <s v="Wednesday"/>
    <s v="100 East 10th Street"/>
    <n v="127.6"/>
    <n v="119.6"/>
    <n v="5"/>
    <n v="37"/>
    <s v="Store"/>
    <n v="23.919999999999998"/>
    <n v="1067.8999999999999"/>
    <n v="0"/>
  </r>
  <r>
    <n v="23"/>
    <n v="36"/>
    <d v="2023-09-08T00:00:00"/>
    <x v="10"/>
    <s v="Thursday"/>
    <s v="100 East 10th Street"/>
    <n v="160.80000000000001"/>
    <n v="152.80000000000001"/>
    <n v="8"/>
    <n v="45"/>
    <s v="Store"/>
    <n v="19.100000000000001"/>
    <n v="1220.6999999999998"/>
    <n v="0"/>
  </r>
  <r>
    <n v="24"/>
    <n v="37"/>
    <d v="2023-09-12T00:00:00"/>
    <x v="11"/>
    <s v="Monday"/>
    <s v="100 East 10th Street"/>
    <n v="141.5"/>
    <n v="133.5"/>
    <n v="4"/>
    <n v="49"/>
    <s v="Store"/>
    <n v="33.375"/>
    <n v="1354.1999999999998"/>
    <n v="0"/>
  </r>
  <r>
    <n v="24"/>
    <n v="37"/>
    <d v="2023-09-15T00:00:00"/>
    <x v="12"/>
    <s v="Thursday"/>
    <s v="100 East 10th Street"/>
    <n v="134.5"/>
    <n v="126.5"/>
    <n v="3"/>
    <n v="52"/>
    <s v="Store"/>
    <n v="42.166666666666664"/>
    <n v="1480.6999999999998"/>
    <n v="0"/>
  </r>
  <r>
    <n v="25"/>
    <n v="38"/>
    <d v="2023-09-20T00:00:00"/>
    <x v="13"/>
    <s v="Tuesday"/>
    <s v="100 East 10th Street"/>
    <n v="153.5"/>
    <n v="145.5"/>
    <n v="5"/>
    <n v="57"/>
    <s v="Store"/>
    <n v="29.1"/>
    <n v="1626.1999999999998"/>
    <n v="0"/>
  </r>
  <r>
    <n v="26"/>
    <n v="39"/>
    <d v="2023-09-26T00:00:00"/>
    <x v="14"/>
    <s v="Monday"/>
    <s v="100 East 10th Street"/>
    <n v="148"/>
    <n v="140"/>
    <n v="6"/>
    <n v="63"/>
    <s v="Store"/>
    <n v="23.333333333333332"/>
    <n v="1766.1999999999998"/>
    <n v="0"/>
  </r>
  <r>
    <n v="27"/>
    <n v="40"/>
    <d v="2023-10-02T00:00:00"/>
    <x v="15"/>
    <s v="Sunday"/>
    <s v="100 East 10th Street"/>
    <n v="151"/>
    <n v="143"/>
    <n v="6"/>
    <n v="69"/>
    <s v="Store"/>
    <n v="23.833333333333332"/>
    <n v="1909.1999999999998"/>
    <n v="0"/>
  </r>
  <r>
    <n v="27"/>
    <n v="40"/>
    <d v="2023-10-06T00:00:00"/>
    <x v="16"/>
    <s v="Thursday"/>
    <s v="100 East 10th Street"/>
    <n v="177"/>
    <n v="169"/>
    <n v="4"/>
    <n v="73"/>
    <s v="Store"/>
    <n v="42.25"/>
    <n v="2078.1999999999998"/>
    <n v="0"/>
  </r>
  <r>
    <n v="28"/>
    <n v="41"/>
    <d v="2023-10-13T00:00:00"/>
    <x v="17"/>
    <s v="Thursday"/>
    <s v="100 East 10th Street"/>
    <n v="154"/>
    <n v="146"/>
    <n v="7"/>
    <n v="80"/>
    <s v="Store"/>
    <n v="20.857142857142858"/>
    <n v="2224.1999999999998"/>
    <n v="0"/>
  </r>
  <r>
    <n v="29"/>
    <n v="42"/>
    <d v="2023-10-16T00:00:00"/>
    <x v="18"/>
    <s v="Sunday"/>
    <s v="100 East 10th Street"/>
    <n v="146.5"/>
    <n v="138.5"/>
    <n v="3"/>
    <n v="83"/>
    <s v="Store"/>
    <n v="46.166666666666664"/>
    <n v="2362.6999999999998"/>
    <n v="0"/>
  </r>
  <r>
    <n v="29"/>
    <n v="42"/>
    <d v="2023-10-20T00:00:00"/>
    <x v="19"/>
    <s v="Thursday"/>
    <s v="100 East 10th Street"/>
    <n v="141"/>
    <n v="133"/>
    <n v="4"/>
    <n v="87"/>
    <s v="Store"/>
    <n v="33.25"/>
    <n v="2495.6999999999998"/>
    <n v="0"/>
  </r>
  <r>
    <n v="30"/>
    <n v="43"/>
    <d v="2023-10-24T00:00:00"/>
    <x v="20"/>
    <s v="Monday"/>
    <s v="100 East 10th Street"/>
    <n v="149.5"/>
    <n v="141.5"/>
    <n v="4"/>
    <n v="91"/>
    <s v="Store"/>
    <n v="35.375"/>
    <n v="2637.2"/>
    <n v="0"/>
  </r>
  <r>
    <n v="30"/>
    <n v="43"/>
    <d v="2023-10-27T00:00:00"/>
    <x v="21"/>
    <s v="Thursday"/>
    <s v="100 East 10th Street"/>
    <n v="140"/>
    <n v="132"/>
    <n v="3"/>
    <n v="94"/>
    <s v="Store"/>
    <n v="44"/>
    <n v="2769.2"/>
    <n v="0"/>
  </r>
  <r>
    <n v="31"/>
    <n v="44"/>
    <d v="2023-11-01T00:00:00"/>
    <x v="22"/>
    <s v="Tuesday"/>
    <s v="100 East 10th Street"/>
    <n v="183.5"/>
    <n v="175.5"/>
    <n v="5"/>
    <n v="99"/>
    <s v="Store"/>
    <n v="35.1"/>
    <n v="2944.7"/>
    <n v="0"/>
  </r>
  <r>
    <n v="31"/>
    <n v="44"/>
    <d v="2023-11-03T00:00:00"/>
    <x v="23"/>
    <s v="Thursday"/>
    <s v="100 East 10th Street"/>
    <n v="175"/>
    <n v="167"/>
    <n v="2"/>
    <n v="101"/>
    <s v="Store"/>
    <n v="83.5"/>
    <n v="3111.7"/>
    <n v="0"/>
  </r>
  <r>
    <n v="32"/>
    <n v="45"/>
    <d v="2023-11-08T00:00:00"/>
    <x v="24"/>
    <s v="Tuesday"/>
    <s v="100 East 10th Street"/>
    <n v="151"/>
    <n v="143"/>
    <n v="5"/>
    <n v="106"/>
    <s v="Scheduled"/>
    <n v="28.6"/>
    <n v="3254.7"/>
    <n v="0"/>
  </r>
  <r>
    <n v="32"/>
    <n v="45"/>
    <d v="2023-11-11T00:00:00"/>
    <x v="25"/>
    <s v="Friday"/>
    <s v="100 East 10th Street"/>
    <n v="130.5"/>
    <n v="122.5"/>
    <n v="3"/>
    <n v="109"/>
    <s v="Scheduled"/>
    <n v="40.833333333333336"/>
    <n v="3377.2"/>
    <n v="0"/>
  </r>
  <r>
    <n v="33"/>
    <n v="46"/>
    <d v="2023-11-15T00:00:00"/>
    <x v="26"/>
    <s v="Tuesday"/>
    <s v="100 East 10th Street"/>
    <n v="148.5"/>
    <n v="140.5"/>
    <n v="4"/>
    <n v="113"/>
    <s v="Store"/>
    <n v="35.125"/>
    <n v="3517.7"/>
    <n v="0"/>
  </r>
  <r>
    <n v="33"/>
    <n v="47"/>
    <d v="2023-11-19T00:00:00"/>
    <x v="27"/>
    <s v="Saturday"/>
    <s v="100 East 10th Street"/>
    <n v="162.5"/>
    <n v="154.5"/>
    <n v="4"/>
    <n v="117"/>
    <s v="Scheduled"/>
    <n v="38.625"/>
    <n v="3672.2"/>
    <n v="0"/>
  </r>
  <r>
    <n v="34"/>
    <n v="47"/>
    <d v="2023-11-21T00:00:00"/>
    <x v="28"/>
    <s v="Monday"/>
    <s v="100 East 10th Street"/>
    <n v="124"/>
    <n v="116"/>
    <n v="2"/>
    <n v="119"/>
    <s v="Scheduled"/>
    <n v="58"/>
    <n v="3788.2"/>
    <n v="0"/>
  </r>
  <r>
    <n v="34"/>
    <n v="47"/>
    <d v="2023-11-24T00:00:00"/>
    <x v="29"/>
    <s v="Thursday"/>
    <s v="100 East 10th Street"/>
    <n v="150"/>
    <n v="142"/>
    <n v="3"/>
    <n v="122"/>
    <s v="Store"/>
    <n v="47.333333333333336"/>
    <n v="3930.2"/>
    <n v="0"/>
  </r>
  <r>
    <n v="34"/>
    <n v="48"/>
    <d v="2023-11-26T00:00:00"/>
    <x v="30"/>
    <s v="Saturday"/>
    <s v="100 East 10th Street"/>
    <n v="180"/>
    <n v="172"/>
    <n v="2"/>
    <n v="124"/>
    <s v="Store"/>
    <n v="86"/>
    <n v="4102.2"/>
    <n v="0"/>
  </r>
  <r>
    <n v="35"/>
    <n v="48"/>
    <d v="2023-11-28T00:00:00"/>
    <x v="31"/>
    <s v="Monday"/>
    <s v="100 East 10th Street"/>
    <n v="75"/>
    <n v="67"/>
    <n v="2"/>
    <n v="126"/>
    <s v="Scheduled"/>
    <n v="33.5"/>
    <n v="4169.2"/>
    <n v="0"/>
  </r>
  <r>
    <n v="35"/>
    <n v="48"/>
    <d v="2023-12-01T00:00:00"/>
    <x v="32"/>
    <s v="Thursday"/>
    <s v="100 East 10th Street"/>
    <n v="190"/>
    <n v="182"/>
    <n v="3"/>
    <n v="129"/>
    <s v="Store"/>
    <n v="60.666666666666664"/>
    <n v="4351.2"/>
    <n v="0"/>
  </r>
  <r>
    <n v="36"/>
    <n v="49"/>
    <d v="2023-12-04T00:00:00"/>
    <x v="33"/>
    <s v="Sunday"/>
    <s v="100 East 10th Street"/>
    <n v="170"/>
    <n v="162"/>
    <n v="3"/>
    <n v="132"/>
    <s v="Store"/>
    <n v="54"/>
    <n v="4513.2"/>
    <n v="0"/>
  </r>
  <r>
    <n v="36"/>
    <n v="49"/>
    <d v="2023-12-06T00:00:00"/>
    <x v="34"/>
    <s v="Tuesday"/>
    <s v="100 East 10th Street"/>
    <n v="105.5"/>
    <n v="97.5"/>
    <n v="2"/>
    <n v="134"/>
    <s v="Scheduled"/>
    <n v="48.75"/>
    <n v="4610.7"/>
    <n v="0"/>
  </r>
  <r>
    <n v="36"/>
    <n v="49"/>
    <d v="2023-12-08T00:00:00"/>
    <x v="35"/>
    <s v="Thursday"/>
    <s v="100 East 10th Street"/>
    <n v="113.5"/>
    <n v="105.5"/>
    <n v="2"/>
    <n v="136"/>
    <s v="Scheduled"/>
    <n v="52.75"/>
    <n v="4716.2"/>
    <n v="0"/>
  </r>
  <r>
    <n v="36"/>
    <n v="50"/>
    <d v="2023-12-10T00:00:00"/>
    <x v="36"/>
    <s v="Saturday"/>
    <s v="100 East 10th Street"/>
    <n v="170.5"/>
    <n v="162.5"/>
    <n v="2"/>
    <n v="138"/>
    <s v="Scheduled"/>
    <n v="81.25"/>
    <n v="4878.7"/>
    <n v="0"/>
  </r>
  <r>
    <n v="37"/>
    <n v="50"/>
    <d v="2023-12-12T00:00:00"/>
    <x v="37"/>
    <s v="Monday"/>
    <s v="100 East 10th Street"/>
    <n v="163"/>
    <n v="155"/>
    <n v="2"/>
    <n v="140"/>
    <s v="Scheduled"/>
    <n v="77.5"/>
    <n v="5033.7"/>
    <n v="0"/>
  </r>
  <r>
    <n v="37"/>
    <n v="50"/>
    <d v="2023-12-14T00:00:00"/>
    <x v="38"/>
    <s v="Wednesday"/>
    <s v="100 East 10th Street"/>
    <n v="145.5"/>
    <n v="137.5"/>
    <n v="2"/>
    <n v="142"/>
    <s v="Scheduled"/>
    <n v="68.75"/>
    <n v="5171.2"/>
    <n v="0"/>
  </r>
  <r>
    <n v="37"/>
    <n v="50"/>
    <d v="2023-12-16T00:00:00"/>
    <x v="39"/>
    <s v="Friday"/>
    <s v="100 East 10th Street"/>
    <n v="109.5"/>
    <n v="101.5"/>
    <n v="2"/>
    <n v="144"/>
    <s v="Scheduled"/>
    <n v="50.75"/>
    <n v="5272.7"/>
    <n v="0"/>
  </r>
  <r>
    <n v="38"/>
    <n v="51"/>
    <d v="2023-12-19T00:00:00"/>
    <x v="40"/>
    <s v="Monday"/>
    <s v="100 East 10th Street"/>
    <n v="143"/>
    <n v="135"/>
    <n v="3"/>
    <n v="147"/>
    <s v="Scheduled"/>
    <n v="45"/>
    <n v="5407.7"/>
    <n v="0"/>
  </r>
  <r>
    <n v="38"/>
    <n v="51"/>
    <d v="2023-12-21T00:00:00"/>
    <x v="41"/>
    <s v="Wednesday"/>
    <s v="100 East 10th Street"/>
    <n v="143"/>
    <n v="135"/>
    <n v="2"/>
    <n v="149"/>
    <s v="Scheduled"/>
    <n v="67.5"/>
    <n v="5542.7"/>
    <n v="0"/>
  </r>
  <r>
    <n v="38"/>
    <n v="51"/>
    <d v="2023-12-23T00:00:00"/>
    <x v="42"/>
    <s v="Friday"/>
    <s v="100 East 10th Street"/>
    <n v="166"/>
    <n v="158"/>
    <n v="2"/>
    <n v="151"/>
    <s v="Scheduled"/>
    <n v="79"/>
    <n v="5700.7"/>
    <n v="0"/>
  </r>
  <r>
    <n v="39"/>
    <n v="52"/>
    <d v="2023-12-25T00:00:00"/>
    <x v="43"/>
    <s v="Sunday"/>
    <s v="100 East 10th Street"/>
    <n v="206"/>
    <n v="198"/>
    <n v="2"/>
    <n v="153"/>
    <s v="Store"/>
    <n v="99"/>
    <n v="5898.7"/>
    <n v="0"/>
  </r>
  <r>
    <n v="39"/>
    <n v="52"/>
    <d v="2023-12-27T00:00:00"/>
    <x v="44"/>
    <s v="Tuesday"/>
    <s v="100 East 10th Street"/>
    <n v="90.5"/>
    <n v="82.5"/>
    <n v="2"/>
    <n v="155"/>
    <s v="Scheduled"/>
    <n v="41.25"/>
    <n v="5981.2"/>
    <n v="0"/>
  </r>
  <r>
    <n v="39"/>
    <n v="52"/>
    <d v="2023-12-29T00:00:00"/>
    <x v="45"/>
    <s v="Thursday"/>
    <s v="100 East 10th Street"/>
    <n v="200"/>
    <n v="192"/>
    <n v="2"/>
    <n v="157"/>
    <s v="Store"/>
    <n v="96"/>
    <n v="6173.2"/>
    <n v="0"/>
  </r>
  <r>
    <n v="39"/>
    <m/>
    <m/>
    <x v="46"/>
    <s v="Saturday"/>
    <s v="100 East 10th Street"/>
    <n v="195"/>
    <n v="187"/>
    <n v="2"/>
    <n v="159"/>
    <s v="Scheduled"/>
    <n v="93.5"/>
    <n v="6360.2"/>
    <n v="0"/>
  </r>
  <r>
    <n v="40"/>
    <m/>
    <m/>
    <x v="47"/>
    <s v="Monday"/>
    <s v="100 East 10th Street"/>
    <n v="81.5"/>
    <n v="73.5"/>
    <n v="2"/>
    <n v="161"/>
    <s v="Scheduled"/>
    <n v="36.75"/>
    <n v="6433.7"/>
    <n v="0"/>
  </r>
  <r>
    <n v="40"/>
    <m/>
    <m/>
    <x v="48"/>
    <s v="Wednesday"/>
    <s v="100 East 10th Street"/>
    <n v="127"/>
    <n v="119"/>
    <n v="2"/>
    <n v="163"/>
    <s v="Scheduled"/>
    <n v="59.5"/>
    <n v="6552.7"/>
    <n v="0"/>
  </r>
  <r>
    <n v="40"/>
    <m/>
    <m/>
    <x v="49"/>
    <s v="Friday"/>
    <s v="100 East 10th Street"/>
    <n v="190"/>
    <n v="182"/>
    <n v="2"/>
    <n v="165"/>
    <s v="Scheduled"/>
    <n v="91"/>
    <n v="6734.7"/>
    <n v="0"/>
  </r>
  <r>
    <n v="41"/>
    <m/>
    <m/>
    <x v="50"/>
    <s v="Monday"/>
    <s v="100 East 10th Street"/>
    <n v="120"/>
    <n v="112"/>
    <n v="3"/>
    <n v="168"/>
    <s v="Scheduled"/>
    <n v="37.333333333333336"/>
    <n v="6846.7"/>
    <n v="0"/>
  </r>
  <r>
    <n v="41"/>
    <m/>
    <m/>
    <x v="51"/>
    <s v="Wednesday"/>
    <s v="100 East 10th Street"/>
    <n v="146.5"/>
    <n v="138.5"/>
    <n v="2"/>
    <n v="170"/>
    <s v="Scheduled"/>
    <n v="69.25"/>
    <n v="6985.2"/>
    <n v="0"/>
  </r>
  <r>
    <n v="41"/>
    <m/>
    <m/>
    <x v="52"/>
    <s v="Friday"/>
    <s v="100 East 10th Street"/>
    <n v="155.5"/>
    <n v="147.5"/>
    <n v="2"/>
    <n v="172"/>
    <s v="Scheduled"/>
    <n v="73.75"/>
    <n v="7132.7"/>
    <n v="0"/>
  </r>
  <r>
    <n v="42"/>
    <m/>
    <m/>
    <x v="53"/>
    <s v="Sunday"/>
    <s v="100 East 10th Street"/>
    <n v="175"/>
    <n v="167"/>
    <n v="2"/>
    <n v="174"/>
    <s v="Scheduled"/>
    <n v="83.5"/>
    <n v="7299.7"/>
    <n v="0"/>
  </r>
  <r>
    <n v="42"/>
    <m/>
    <m/>
    <x v="54"/>
    <s v="Tuesday"/>
    <s v="100 East 10th Street"/>
    <n v="66"/>
    <n v="58"/>
    <n v="2"/>
    <n v="176"/>
    <s v="Scheduled"/>
    <n v="29"/>
    <n v="7357.7"/>
    <n v="0"/>
  </r>
  <r>
    <n v="42"/>
    <m/>
    <m/>
    <x v="55"/>
    <s v="Thursday"/>
    <s v="100 East 10th Street"/>
    <n v="104"/>
    <n v="96"/>
    <n v="2"/>
    <n v="178"/>
    <s v="Scheduled"/>
    <n v="48"/>
    <n v="7453.7"/>
    <n v="0"/>
  </r>
  <r>
    <n v="42"/>
    <m/>
    <m/>
    <x v="56"/>
    <s v="Saturday"/>
    <s v="100 East 10th Street"/>
    <n v="203"/>
    <n v="195"/>
    <n v="2"/>
    <n v="180"/>
    <s v="Store"/>
    <n v="97.5"/>
    <n v="7648.7"/>
    <n v="0"/>
  </r>
  <r>
    <n v="43"/>
    <m/>
    <m/>
    <x v="57"/>
    <s v="Tuesday"/>
    <s v="100 East 10th Street"/>
    <n v="215.5"/>
    <n v="207.5"/>
    <n v="3"/>
    <n v="183"/>
    <s v="Scheduled"/>
    <n v="69.166666666666671"/>
    <n v="7856.2"/>
    <n v="0"/>
  </r>
  <r>
    <n v="43"/>
    <m/>
    <m/>
    <x v="58"/>
    <s v="Thursday"/>
    <s v="100 East 10th Street"/>
    <n v="98"/>
    <n v="90"/>
    <n v="2"/>
    <n v="185"/>
    <s v="Scheduled"/>
    <n v="45"/>
    <n v="7946.2"/>
    <n v="0"/>
  </r>
  <r>
    <n v="44"/>
    <m/>
    <m/>
    <x v="59"/>
    <s v="Sunday"/>
    <s v="100 East 10th Street"/>
    <n v="108"/>
    <n v="100"/>
    <n v="3"/>
    <n v="188"/>
    <s v="Scheduled"/>
    <n v="33.333333333333336"/>
    <n v="8046.2"/>
    <n v="0"/>
  </r>
  <r>
    <n v="44"/>
    <m/>
    <m/>
    <x v="60"/>
    <s v="Monday"/>
    <s v="100 East 10th Street"/>
    <n v="194"/>
    <n v="186"/>
    <n v="1"/>
    <n v="189"/>
    <s v="Scheduled"/>
    <n v="186"/>
    <n v="8232.2000000000007"/>
    <n v="0"/>
  </r>
  <r>
    <n v="44"/>
    <m/>
    <m/>
    <x v="61"/>
    <s v="Wednesday"/>
    <s v="100 East 10th Street"/>
    <n v="153.5"/>
    <n v="145.5"/>
    <n v="2"/>
    <n v="191"/>
    <s v="Scheduled"/>
    <n v="72.75"/>
    <n v="8377.7000000000007"/>
    <n v="0"/>
  </r>
  <r>
    <n v="44"/>
    <m/>
    <m/>
    <x v="62"/>
    <s v="Friday"/>
    <s v="100 East 10th Street"/>
    <n v="181"/>
    <n v="173"/>
    <n v="2"/>
    <n v="193"/>
    <s v="Scheduled"/>
    <n v="86.5"/>
    <n v="8550.7000000000007"/>
    <n v="0"/>
  </r>
  <r>
    <n v="45"/>
    <m/>
    <m/>
    <x v="63"/>
    <s v="Monday"/>
    <s v="100 East 10th Street"/>
    <n v="171"/>
    <n v="163"/>
    <n v="3"/>
    <n v="196"/>
    <s v="Scheduled"/>
    <n v="54.333333333333336"/>
    <n v="8713.7000000000007"/>
    <n v="0"/>
  </r>
  <r>
    <n v="45"/>
    <m/>
    <m/>
    <x v="64"/>
    <s v="Wednesday"/>
    <s v="100 East 10th Street"/>
    <n v="141.5"/>
    <n v="133.5"/>
    <n v="2"/>
    <n v="198"/>
    <s v="Scheduled"/>
    <n v="66.75"/>
    <n v="8847.2000000000007"/>
    <n v="0"/>
  </r>
  <r>
    <n v="45"/>
    <m/>
    <m/>
    <x v="65"/>
    <s v="Friday"/>
    <s v="100 East 10th Street"/>
    <n v="152"/>
    <n v="144"/>
    <n v="2"/>
    <n v="200"/>
    <s v="Scheduled"/>
    <n v="72"/>
    <n v="8991.2000000000007"/>
    <n v="0"/>
  </r>
  <r>
    <n v="46"/>
    <m/>
    <m/>
    <x v="66"/>
    <s v="Sunday"/>
    <s v="100 East 10th Street"/>
    <n v="75"/>
    <n v="67"/>
    <n v="2"/>
    <n v="202"/>
    <s v="Scheduled"/>
    <n v="33.5"/>
    <n v="9058.2000000000007"/>
    <n v="0"/>
  </r>
  <r>
    <n v="47"/>
    <m/>
    <m/>
    <x v="67"/>
    <s v="Monday"/>
    <s v="100 East 10th Street"/>
    <n v="578"/>
    <n v="570"/>
    <n v="8"/>
    <n v="210"/>
    <s v="Scheduled"/>
    <n v="71.25"/>
    <n v="9628.2000000000007"/>
    <n v="0"/>
  </r>
  <r>
    <n v="47"/>
    <m/>
    <m/>
    <x v="68"/>
    <s v="Wednesday"/>
    <s v="100 East 10th Street"/>
    <n v="160"/>
    <n v="152"/>
    <n v="2"/>
    <n v="212"/>
    <s v="Scheduled"/>
    <n v="76"/>
    <n v="9780.2000000000007"/>
    <n v="0"/>
  </r>
  <r>
    <n v="48"/>
    <m/>
    <m/>
    <x v="69"/>
    <s v="Sunday"/>
    <s v="100 East 10th Street"/>
    <n v="157"/>
    <n v="149"/>
    <n v="4"/>
    <n v="216"/>
    <s v="Scheduled"/>
    <n v="37.25"/>
    <n v="9929.2000000000007"/>
    <n v="0"/>
  </r>
  <r>
    <n v="48"/>
    <m/>
    <m/>
    <x v="70"/>
    <s v="Tuesday"/>
    <s v="100 East 10th Street"/>
    <n v="107.5"/>
    <n v="99.5"/>
    <n v="2"/>
    <n v="218"/>
    <s v="Scheduled"/>
    <n v="49.75"/>
    <n v="10028.700000000001"/>
    <n v="0"/>
  </r>
  <r>
    <n v="48"/>
    <m/>
    <m/>
    <x v="71"/>
    <s v="Thursday"/>
    <s v="100 East 10th Street"/>
    <n v="149"/>
    <n v="141"/>
    <n v="2"/>
    <n v="220"/>
    <s v="Scheduled"/>
    <n v="70.5"/>
    <n v="10169.700000000001"/>
    <n v="0"/>
  </r>
  <r>
    <n v="48"/>
    <m/>
    <m/>
    <x v="72"/>
    <s v="Saturday"/>
    <s v="100 East 10th Street"/>
    <n v="142.5"/>
    <n v="134.5"/>
    <n v="2"/>
    <n v="222"/>
    <s v="Scheduled"/>
    <n v="67.25"/>
    <n v="10304.200000000001"/>
    <n v="0"/>
  </r>
  <r>
    <n v="49"/>
    <m/>
    <m/>
    <x v="73"/>
    <s v="Monday"/>
    <s v="100 East 10th Street"/>
    <n v="119.5"/>
    <n v="111.5"/>
    <n v="2"/>
    <n v="224"/>
    <s v="Scheduled"/>
    <n v="55.75"/>
    <n v="10415.700000000001"/>
    <n v="0"/>
  </r>
  <r>
    <n v="49"/>
    <m/>
    <m/>
    <x v="74"/>
    <s v="Wednesday"/>
    <s v="100 East 10th Street"/>
    <n v="106"/>
    <n v="98"/>
    <n v="2"/>
    <n v="226"/>
    <s v="Scheduled"/>
    <n v="49"/>
    <n v="10513.7"/>
    <n v="0"/>
  </r>
  <r>
    <n v="49"/>
    <m/>
    <m/>
    <x v="75"/>
    <s v="Friday"/>
    <s v="100 East 10th Street"/>
    <n v="168"/>
    <n v="160"/>
    <n v="2"/>
    <n v="228"/>
    <s v="Scheduled"/>
    <n v="80"/>
    <n v="10673.7"/>
    <n v="0"/>
  </r>
  <r>
    <n v="50"/>
    <m/>
    <m/>
    <x v="76"/>
    <s v="Tuesday"/>
    <s v="100 East 10th Street"/>
    <n v="259.5"/>
    <n v="251.5"/>
    <n v="4"/>
    <n v="232"/>
    <s v="Scheduled"/>
    <n v="62.875"/>
    <n v="10925.2"/>
    <n v="0"/>
  </r>
  <r>
    <n v="50"/>
    <m/>
    <m/>
    <x v="77"/>
    <s v="Saturday"/>
    <s v="100 East 10th Street"/>
    <n v="303.5"/>
    <n v="295.5"/>
    <n v="4"/>
    <n v="236"/>
    <s v="Scheduled"/>
    <n v="73.875"/>
    <n v="11220.7"/>
    <n v="0"/>
  </r>
  <r>
    <n v="51"/>
    <m/>
    <m/>
    <x v="78"/>
    <s v="Tuesday"/>
    <s v="100 East 10th Street"/>
    <n v="179"/>
    <n v="171"/>
    <n v="3"/>
    <n v="239"/>
    <s v="Scheduled"/>
    <n v="57"/>
    <n v="11391.7"/>
    <n v="0"/>
  </r>
  <r>
    <n v="51"/>
    <m/>
    <m/>
    <x v="79"/>
    <s v="Saturday"/>
    <s v="100 East 10th Street"/>
    <n v="181.5"/>
    <n v="173.5"/>
    <n v="4"/>
    <n v="243"/>
    <s v="Store"/>
    <n v="43.375"/>
    <n v="11565.2"/>
    <n v="0"/>
  </r>
  <r>
    <n v="52"/>
    <m/>
    <m/>
    <x v="80"/>
    <s v="Friday"/>
    <s v="100 East 10th Street"/>
    <n v="189"/>
    <n v="181"/>
    <n v="6"/>
    <n v="249"/>
    <s v="Store"/>
    <n v="30.166666666666668"/>
    <n v="11746.2"/>
    <n v="0"/>
  </r>
  <r>
    <n v="1"/>
    <m/>
    <m/>
    <x v="81"/>
    <s v="Tuesday"/>
    <s v="100 East 10th Street"/>
    <n v="151"/>
    <n v="143"/>
    <n v="4"/>
    <n v="253"/>
    <s v="Store"/>
    <n v="35.75"/>
    <n v="11889.2"/>
    <n v="0"/>
  </r>
  <r>
    <n v="2"/>
    <m/>
    <m/>
    <x v="82"/>
    <s v="Wednesday"/>
    <s v="100 East 10th Street"/>
    <n v="382"/>
    <n v="374"/>
    <n v="8"/>
    <n v="261"/>
    <s v="Store"/>
    <n v="46.75"/>
    <n v="12263.2"/>
    <n v="0"/>
  </r>
  <r>
    <n v="2"/>
    <m/>
    <m/>
    <x v="83"/>
    <s v="Friday"/>
    <s v="100 East 10th Street"/>
    <n v="171.9"/>
    <n v="163.9"/>
    <n v="2"/>
    <n v="263"/>
    <s v="Scheduled"/>
    <n v="81.95"/>
    <n v="12427.1"/>
    <n v="0"/>
  </r>
  <r>
    <n v="3"/>
    <m/>
    <m/>
    <x v="84"/>
    <s v="Sunday"/>
    <s v="100 East 10th Street"/>
    <n v="120"/>
    <n v="112"/>
    <n v="2"/>
    <n v="265"/>
    <s v="Scheduled"/>
    <n v="56"/>
    <n v="12539.1"/>
    <n v="0"/>
  </r>
  <r>
    <n v="3"/>
    <m/>
    <m/>
    <x v="85"/>
    <s v="Wednesday"/>
    <s v="100 East 10th Street"/>
    <n v="172"/>
    <n v="164"/>
    <n v="3"/>
    <n v="268"/>
    <s v="Scheduled"/>
    <n v="54.666666666666664"/>
    <n v="12703.1"/>
    <n v="0"/>
  </r>
  <r>
    <n v="4"/>
    <m/>
    <m/>
    <x v="86"/>
    <s v="Sunday"/>
    <s v="100 East 10th Street"/>
    <n v="212"/>
    <n v="204"/>
    <n v="4"/>
    <n v="272"/>
    <s v="Scheduled"/>
    <n v="51"/>
    <n v="12907.1"/>
    <n v="0"/>
  </r>
  <r>
    <n v="4"/>
    <m/>
    <m/>
    <x v="87"/>
    <s v="Tuesday"/>
    <s v="100 East 10th Street"/>
    <n v="175"/>
    <n v="167"/>
    <n v="2"/>
    <n v="274"/>
    <s v="Scheduled"/>
    <n v="83.5"/>
    <n v="13074.1"/>
    <n v="0"/>
  </r>
  <r>
    <n v="4"/>
    <m/>
    <m/>
    <x v="88"/>
    <s v="Friday"/>
    <s v="100 East 10th Street"/>
    <n v="180"/>
    <n v="172"/>
    <n v="3"/>
    <n v="277"/>
    <s v="Scheduled"/>
    <n v="57.333333333333336"/>
    <n v="13246.1"/>
    <n v="0"/>
  </r>
  <r>
    <n v="5"/>
    <m/>
    <m/>
    <x v="89"/>
    <s v="Sunday"/>
    <s v="100 East 10th Street"/>
    <n v="151.5"/>
    <n v="143.5"/>
    <n v="2"/>
    <n v="279"/>
    <s v="Scheduled"/>
    <n v="71.75"/>
    <n v="13389.6"/>
    <n v="0"/>
  </r>
  <r>
    <n v="5"/>
    <m/>
    <m/>
    <x v="90"/>
    <s v="Tuesday"/>
    <s v="100 East 10th Street"/>
    <n v="155"/>
    <n v="147"/>
    <n v="2"/>
    <n v="281"/>
    <s v="Scheduled"/>
    <n v="73.5"/>
    <n v="13536.6"/>
    <n v="0"/>
  </r>
  <r>
    <n v="5"/>
    <m/>
    <m/>
    <x v="91"/>
    <s v="Thursday"/>
    <s v="100 East 10th Street"/>
    <n v="153"/>
    <n v="145"/>
    <n v="2"/>
    <n v="283"/>
    <s v="Scheduled"/>
    <n v="72.5"/>
    <n v="13681.6"/>
    <n v="0"/>
  </r>
  <r>
    <n v="5"/>
    <m/>
    <m/>
    <x v="92"/>
    <s v="Saturday"/>
    <s v="100 East 10th Street"/>
    <n v="144.5"/>
    <n v="136.5"/>
    <n v="2"/>
    <n v="285"/>
    <s v="Scheduled"/>
    <n v="68.25"/>
    <n v="13818.1"/>
    <n v="0"/>
  </r>
  <r>
    <n v="6"/>
    <m/>
    <m/>
    <x v="93"/>
    <s v="Monday"/>
    <s v="100 East 10th Street"/>
    <n v="103.5"/>
    <n v="95.5"/>
    <n v="2"/>
    <n v="287"/>
    <s v="Scheduled"/>
    <n v="47.75"/>
    <n v="13913.6"/>
    <n v="0"/>
  </r>
  <r>
    <n v="6"/>
    <m/>
    <m/>
    <x v="94"/>
    <s v="Wednesday"/>
    <s v="100 East 10th Street"/>
    <n v="160"/>
    <n v="152"/>
    <n v="2"/>
    <n v="289"/>
    <s v="Scheduled"/>
    <n v="76"/>
    <n v="14065.6"/>
    <n v="0"/>
  </r>
  <r>
    <n v="6"/>
    <m/>
    <m/>
    <x v="95"/>
    <s v="Friday"/>
    <s v="100 East 10th Street"/>
    <n v="164"/>
    <n v="156"/>
    <n v="2"/>
    <n v="291"/>
    <s v="Scheduled"/>
    <n v="78"/>
    <n v="14221.6"/>
    <n v="0"/>
  </r>
  <r>
    <n v="7"/>
    <m/>
    <m/>
    <x v="96"/>
    <s v="Monday"/>
    <s v="100 East 10th Street"/>
    <n v="155"/>
    <n v="147"/>
    <n v="3"/>
    <n v="294"/>
    <s v="Scheduled"/>
    <n v="49"/>
    <n v="14368.6"/>
    <n v="0"/>
  </r>
  <r>
    <n v="7"/>
    <m/>
    <m/>
    <x v="97"/>
    <s v="Wednesday"/>
    <s v="100 East 10th Street"/>
    <n v="156"/>
    <n v="148"/>
    <n v="2"/>
    <n v="296"/>
    <s v="Scheduled"/>
    <n v="74"/>
    <n v="14516.6"/>
    <n v="0"/>
  </r>
  <r>
    <n v="7"/>
    <m/>
    <m/>
    <x v="98"/>
    <s v="Friday"/>
    <s v="100 East 10th Street"/>
    <n v="165"/>
    <n v="157"/>
    <n v="2"/>
    <n v="298"/>
    <s v="Scheduled"/>
    <n v="78.5"/>
    <n v="14673.6"/>
    <n v="0"/>
  </r>
  <r>
    <n v="8"/>
    <m/>
    <m/>
    <x v="99"/>
    <s v="Sunday"/>
    <s v="100 East 10th Street"/>
    <n v="145"/>
    <n v="137"/>
    <n v="2"/>
    <n v="300"/>
    <s v="Scheduled"/>
    <n v="68.5"/>
    <n v="14810.6"/>
    <n v="0"/>
  </r>
  <r>
    <n v="8"/>
    <m/>
    <m/>
    <x v="100"/>
    <s v="Tuesday"/>
    <s v="100 East 10th Street"/>
    <n v="180"/>
    <n v="172"/>
    <n v="2"/>
    <n v="302"/>
    <s v="Scheduled"/>
    <n v="86"/>
    <n v="14982.6"/>
    <n v="0"/>
  </r>
  <r>
    <n v="8"/>
    <m/>
    <m/>
    <x v="101"/>
    <s v="Thursday"/>
    <s v="100 East 10th Street"/>
    <n v="150"/>
    <n v="142"/>
    <n v="2"/>
    <n v="304"/>
    <s v="Scheduled"/>
    <n v="71"/>
    <n v="15124.6"/>
    <n v="0"/>
  </r>
  <r>
    <n v="9"/>
    <m/>
    <m/>
    <x v="102"/>
    <s v="Sunday"/>
    <s v="100 East 10th Street"/>
    <n v="190"/>
    <n v="182"/>
    <n v="3"/>
    <n v="307"/>
    <s v="Scheduled"/>
    <n v="60.666666666666664"/>
    <n v="15306.6"/>
    <n v="0"/>
  </r>
  <r>
    <n v="9"/>
    <m/>
    <m/>
    <x v="103"/>
    <s v="Tuesday"/>
    <s v="100 East 10th Street"/>
    <n v="156"/>
    <n v="148"/>
    <n v="2"/>
    <n v="309"/>
    <s v="Scheduled"/>
    <n v="74"/>
    <n v="15454.6"/>
    <n v="0"/>
  </r>
  <r>
    <n v="9"/>
    <m/>
    <m/>
    <x v="104"/>
    <s v="Thursday"/>
    <s v="100 East 10th Street"/>
    <n v="165"/>
    <n v="157"/>
    <n v="2"/>
    <n v="311"/>
    <s v="Scheduled"/>
    <n v="78.5"/>
    <n v="15611.6"/>
    <n v="0"/>
  </r>
  <r>
    <n v="10"/>
    <m/>
    <m/>
    <x v="105"/>
    <s v="Monday"/>
    <s v="100 East 10th Street"/>
    <n v="312"/>
    <n v="304"/>
    <n v="4"/>
    <n v="315"/>
    <s v="Scheduled"/>
    <n v="76"/>
    <n v="15915.6"/>
    <n v="0"/>
  </r>
  <r>
    <n v="10"/>
    <m/>
    <m/>
    <x v="106"/>
    <s v="Wednesday"/>
    <s v="100 East 10th Street"/>
    <n v="156"/>
    <n v="148"/>
    <n v="2"/>
    <n v="317"/>
    <s v="Store"/>
    <n v="74"/>
    <n v="16063.6"/>
    <n v="0"/>
  </r>
  <r>
    <n v="11"/>
    <m/>
    <m/>
    <x v="107"/>
    <s v="Monday"/>
    <s v="100 East 10th Street"/>
    <n v="312"/>
    <n v="304"/>
    <n v="5"/>
    <n v="322"/>
    <s v="Store"/>
    <n v="60.8"/>
    <n v="16367.6"/>
    <n v="0"/>
  </r>
  <r>
    <n v="11"/>
    <m/>
    <m/>
    <x v="108"/>
    <s v="Thursday"/>
    <s v="100 East 10th Street"/>
    <n v="158"/>
    <n v="150"/>
    <n v="3"/>
    <n v="325"/>
    <s v="Store"/>
    <n v="50"/>
    <n v="16517.599999999999"/>
    <n v="0"/>
  </r>
  <r>
    <n v="12"/>
    <m/>
    <m/>
    <x v="109"/>
    <s v="Sunday"/>
    <s v="100 East 10th Street"/>
    <n v="200"/>
    <n v="192"/>
    <n v="3"/>
    <n v="328"/>
    <s v="Store"/>
    <n v="64"/>
    <n v="16709.599999999999"/>
    <n v="0"/>
  </r>
  <r>
    <n v="12"/>
    <m/>
    <m/>
    <x v="110"/>
    <s v="Thursday"/>
    <s v="100 East 10th Street"/>
    <n v="185"/>
    <n v="177"/>
    <n v="4"/>
    <n v="332"/>
    <s v="Store"/>
    <n v="44.25"/>
    <n v="16886.599999999999"/>
    <n v="0"/>
  </r>
  <r>
    <n v="13"/>
    <m/>
    <m/>
    <x v="111"/>
    <s v="Monday"/>
    <s v="100 East 10th Street"/>
    <n v="175"/>
    <n v="167"/>
    <n v="4"/>
    <n v="336"/>
    <s v="Scheduled"/>
    <n v="41.75"/>
    <n v="17053.599999999999"/>
    <n v="167"/>
  </r>
  <r>
    <n v="13"/>
    <m/>
    <m/>
    <x v="112"/>
    <s v="Wednesday"/>
    <s v="100 East 10th Street"/>
    <n v="185"/>
    <n v="177"/>
    <n v="2"/>
    <n v="338"/>
    <s v="Store"/>
    <n v="88.5"/>
    <n v="17230.599999999999"/>
    <n v="0"/>
  </r>
  <r>
    <n v="13"/>
    <m/>
    <m/>
    <x v="113"/>
    <s v="Saturday"/>
    <s v="100 East 10th Street"/>
    <n v="165"/>
    <n v="157"/>
    <n v="3"/>
    <n v="341"/>
    <s v="Store"/>
    <n v="52.333333333333336"/>
    <n v="17387.599999999999"/>
    <n v="0"/>
  </r>
  <r>
    <n v="14"/>
    <m/>
    <m/>
    <x v="114"/>
    <s v="Monday"/>
    <s v="100 East 10th Street"/>
    <n v="215"/>
    <n v="207"/>
    <n v="2"/>
    <n v="343"/>
    <s v="Store"/>
    <n v="103.5"/>
    <n v="17594.599999999999"/>
    <n v="0"/>
  </r>
  <r>
    <n v="14"/>
    <m/>
    <m/>
    <x v="115"/>
    <s v="Thursday"/>
    <s v="100 East 10th Street"/>
    <n v="200"/>
    <n v="192"/>
    <n v="3"/>
    <n v="346"/>
    <s v="Store"/>
    <n v="64"/>
    <n v="17786.599999999999"/>
    <n v="0"/>
  </r>
  <r>
    <n v="15"/>
    <m/>
    <m/>
    <x v="116"/>
    <s v="Monday"/>
    <s v="100 East 10th Street"/>
    <n v="377"/>
    <n v="369"/>
    <n v="4"/>
    <n v="350"/>
    <s v="Store"/>
    <n v="92.25"/>
    <n v="18155.599999999999"/>
    <n v="0"/>
  </r>
  <r>
    <n v="15"/>
    <m/>
    <m/>
    <x v="117"/>
    <s v="Thursday"/>
    <s v="100 East 10th Street"/>
    <n v="172"/>
    <n v="164"/>
    <n v="3"/>
    <n v="353"/>
    <s v="Store"/>
    <n v="54.666666666666664"/>
    <n v="18319.599999999999"/>
    <n v="0"/>
  </r>
  <r>
    <n v="16"/>
    <m/>
    <m/>
    <x v="118"/>
    <s v="Sunday"/>
    <s v="100 East 10th Street"/>
    <n v="200"/>
    <n v="192"/>
    <n v="3"/>
    <n v="356"/>
    <s v="Scheduled"/>
    <n v="64"/>
    <n v="18511.599999999999"/>
    <n v="0"/>
  </r>
  <r>
    <n v="16"/>
    <m/>
    <m/>
    <x v="119"/>
    <s v="Tuesday"/>
    <s v="100 East 10th Street"/>
    <n v="176"/>
    <n v="168"/>
    <n v="2"/>
    <n v="358"/>
    <s v="Scheduled"/>
    <n v="84"/>
    <n v="18679.599999999999"/>
    <n v="0"/>
  </r>
  <r>
    <n v="16"/>
    <m/>
    <m/>
    <x v="120"/>
    <s v="Thursday"/>
    <s v="100 East 10th Street"/>
    <n v="165"/>
    <n v="157"/>
    <n v="2"/>
    <n v="360"/>
    <s v="Scheduled"/>
    <n v="78.5"/>
    <n v="18836.599999999999"/>
    <n v="0"/>
  </r>
  <r>
    <n v="17"/>
    <m/>
    <m/>
    <x v="121"/>
    <s v="Sunday"/>
    <s v="100 East 10th Street"/>
    <n v="186"/>
    <n v="178"/>
    <n v="3"/>
    <n v="363"/>
    <s v="Scheduled"/>
    <n v="59.333333333333336"/>
    <n v="19014.599999999999"/>
    <n v="0"/>
  </r>
  <r>
    <n v="17"/>
    <m/>
    <m/>
    <x v="122"/>
    <s v="Wednesday"/>
    <s v="100 East 10th Street"/>
    <n v="196"/>
    <n v="188"/>
    <n v="3"/>
    <n v="366"/>
    <s v="Scheduled"/>
    <n v="62.666666666666664"/>
    <n v="19202.599999999999"/>
    <n v="0"/>
  </r>
  <r>
    <n v="18"/>
    <m/>
    <m/>
    <x v="123"/>
    <s v="Monday"/>
    <s v="100 East 10th Street"/>
    <n v="379"/>
    <n v="371"/>
    <n v="5"/>
    <n v="371"/>
    <s v="Scheduled"/>
    <n v="74.2"/>
    <n v="19573.599999999999"/>
    <n v="371"/>
  </r>
  <r>
    <n v="19"/>
    <m/>
    <m/>
    <x v="124"/>
    <s v="Monday"/>
    <s v="100 East 10th Street"/>
    <n v="317.33999999999997"/>
    <n v="309.33999999999997"/>
    <n v="7"/>
    <n v="378"/>
    <s v="Scheduled"/>
    <n v="44.191428571428567"/>
    <n v="19882.939999999999"/>
    <n v="0"/>
  </r>
  <r>
    <n v="20"/>
    <m/>
    <m/>
    <x v="125"/>
    <s v="Wednesday"/>
    <s v="100 East 10th Street"/>
    <n v="308.53999999999996"/>
    <n v="300.53999999999996"/>
    <n v="9"/>
    <n v="387"/>
    <s v="Scheduled"/>
    <n v="33.393333333333331"/>
    <n v="20183.48"/>
    <n v="0"/>
  </r>
  <r>
    <n v="21"/>
    <m/>
    <m/>
    <x v="126"/>
    <s v="Monday"/>
    <s v="100 East 10th Street"/>
    <n v="376.05"/>
    <n v="368.05"/>
    <n v="5"/>
    <n v="392"/>
    <s v="Scheduled"/>
    <n v="73.61"/>
    <n v="20551.53"/>
    <n v="206.15"/>
  </r>
  <r>
    <n v="21"/>
    <m/>
    <m/>
    <x v="127"/>
    <s v="Wednesday"/>
    <s v="100 East 10th Street"/>
    <n v="207"/>
    <n v="199"/>
    <n v="2"/>
    <n v="394"/>
    <s v="Scheduled"/>
    <n v="99.5"/>
    <n v="20750.53"/>
    <n v="0"/>
  </r>
  <r>
    <n v="22"/>
    <m/>
    <m/>
    <x v="128"/>
    <s v="Thursday"/>
    <s v="100 East 10th Street"/>
    <n v="373"/>
    <n v="365"/>
    <n v="8"/>
    <n v="402"/>
    <s v="Scheduled"/>
    <n v="45.625"/>
    <n v="21115.53"/>
    <n v="321.75"/>
  </r>
  <r>
    <n v="23"/>
    <m/>
    <m/>
    <x v="129"/>
    <s v="Sunday"/>
    <s v="100 East 10th Street"/>
    <n v="127.52"/>
    <n v="119.52"/>
    <n v="3"/>
    <n v="405"/>
    <s v="Scheduled"/>
    <n v="39.839999999999996"/>
    <n v="21235.05"/>
    <n v="0"/>
  </r>
  <r>
    <n v="23"/>
    <m/>
    <m/>
    <x v="130"/>
    <s v="Thursday"/>
    <s v="100 East 10th Street"/>
    <n v="447.98"/>
    <n v="439.98"/>
    <n v="4"/>
    <n v="409"/>
    <s v="Scheduled"/>
    <n v="109.995"/>
    <n v="21675.03"/>
    <n v="0"/>
  </r>
  <r>
    <n v="24"/>
    <m/>
    <m/>
    <x v="131"/>
    <s v="Wednesday"/>
    <s v="100 East 10th Street"/>
    <n v="329.8125"/>
    <n v="321.8125"/>
    <n v="6"/>
    <n v="415"/>
    <s v="Scheduled"/>
    <n v="53.635416666666664"/>
    <n v="21996.842499999999"/>
    <n v="329.8125"/>
  </r>
  <r>
    <n v="24"/>
    <m/>
    <m/>
    <x v="132"/>
    <s v="Saturday"/>
    <s v="100 East 10th Street"/>
    <n v="451.8"/>
    <n v="443.8"/>
    <n v="3"/>
    <n v="418"/>
    <s v="Scheduled"/>
    <n v="147.93333333333334"/>
    <n v="22440.642499999998"/>
    <n v="0"/>
  </r>
  <r>
    <n v="25"/>
    <m/>
    <m/>
    <x v="133"/>
    <s v="Tuesday"/>
    <s v="100 East 10th Street"/>
    <n v="161"/>
    <n v="153"/>
    <n v="3"/>
    <n v="421"/>
    <s v="Scheduled"/>
    <n v="51"/>
    <n v="22593.642499999998"/>
    <n v="0"/>
  </r>
  <r>
    <n v="26"/>
    <m/>
    <m/>
    <x v="134"/>
    <s v="Tuesday"/>
    <s v="100 East 10th Street"/>
    <n v="152.02000000000001"/>
    <n v="144.02000000000001"/>
    <n v="7"/>
    <n v="428"/>
    <s v="Scheduled"/>
    <n v="20.574285714285715"/>
    <n v="22737.662499999999"/>
    <n v="0"/>
  </r>
  <r>
    <n v="27"/>
    <m/>
    <m/>
    <x v="135"/>
    <s v="Sunday"/>
    <s v="100 East 10th Street"/>
    <n v="398.64"/>
    <n v="390.64"/>
    <n v="5"/>
    <n v="433"/>
    <s v="Scheduled"/>
    <n v="78.128"/>
    <n v="23128.302499999998"/>
    <n v="0"/>
  </r>
  <r>
    <n v="27"/>
    <m/>
    <m/>
    <x v="136"/>
    <s v="Friday"/>
    <s v="100 East 10th Street"/>
    <n v="372.56"/>
    <n v="364.56"/>
    <n v="5"/>
    <n v="438"/>
    <s v="Scheduled"/>
    <n v="72.912000000000006"/>
    <n v="23492.862499999999"/>
    <n v="0"/>
  </r>
  <r>
    <n v="29"/>
    <m/>
    <m/>
    <x v="137"/>
    <s v="Wednesday"/>
    <s v="100 East 10th Street"/>
    <n v="449.66"/>
    <n v="441.66"/>
    <n v="12"/>
    <n v="450"/>
    <s v="Scheduled"/>
    <n v="36.805"/>
    <n v="23934.522499999999"/>
    <n v="0"/>
  </r>
  <r>
    <n v="30"/>
    <m/>
    <m/>
    <x v="138"/>
    <s v="Monday"/>
    <s v="100 East 10th Street"/>
    <n v="108.6"/>
    <n v="100.6"/>
    <n v="5"/>
    <n v="455"/>
    <s v="Scheduled"/>
    <n v="20.119999999999997"/>
    <n v="24035.122499999998"/>
    <n v="0"/>
  </r>
  <r>
    <n v="30"/>
    <m/>
    <m/>
    <x v="139"/>
    <s v="Friday"/>
    <s v="100 East 10th Street"/>
    <n v="383.9"/>
    <n v="375.9"/>
    <n v="4"/>
    <n v="459"/>
    <s v="Scheduled"/>
    <n v="93.974999999999994"/>
    <n v="24411.022499999999"/>
    <n v="0"/>
  </r>
  <r>
    <n v="31"/>
    <m/>
    <m/>
    <x v="140"/>
    <s v="Tuesday"/>
    <s v="100 East 10th Street"/>
    <n v="185.7"/>
    <n v="177.7"/>
    <n v="4"/>
    <n v="463"/>
    <s v="Scheduled"/>
    <n v="44.424999999999997"/>
    <n v="24588.7225"/>
    <n v="0"/>
  </r>
  <r>
    <n v="31"/>
    <m/>
    <m/>
    <x v="141"/>
    <s v="Friday"/>
    <s v="100 East 10th Street"/>
    <n v="347.62"/>
    <n v="339.62"/>
    <n v="3"/>
    <n v="466"/>
    <s v="Scheduled"/>
    <n v="113.20666666666666"/>
    <n v="24928.342499999999"/>
    <n v="0"/>
  </r>
  <r>
    <n v="32"/>
    <m/>
    <m/>
    <x v="142"/>
    <s v="Thursday"/>
    <s v="100 East 10th Street"/>
    <n v="340.3"/>
    <n v="332.3"/>
    <n v="6"/>
    <n v="472"/>
    <s v="Scheduled"/>
    <n v="55.383333333333333"/>
    <n v="25260.642499999998"/>
    <n v="340.3"/>
  </r>
  <r>
    <n v="33"/>
    <m/>
    <m/>
    <x v="143"/>
    <s v="Tuesday"/>
    <s v="100 East 10th Street"/>
    <n v="189.44"/>
    <n v="181.44"/>
    <n v="5"/>
    <n v="477"/>
    <s v="Scheduled"/>
    <n v="36.287999999999997"/>
    <n v="25442.082499999997"/>
    <n v="0"/>
  </r>
  <r>
    <n v="34"/>
    <m/>
    <m/>
    <x v="144"/>
    <s v="Monday"/>
    <s v="100 East 10th Street"/>
    <n v="507"/>
    <n v="499"/>
    <n v="6"/>
    <n v="483"/>
    <s v="Scheduled"/>
    <n v="83.166666666666671"/>
    <n v="25941.082499999997"/>
    <n v="0"/>
  </r>
  <r>
    <n v="35"/>
    <m/>
    <m/>
    <x v="145"/>
    <s v="Monday"/>
    <s v="100 East 10th Street"/>
    <n v="172"/>
    <n v="164"/>
    <n v="7"/>
    <n v="490"/>
    <s v="Scheduled"/>
    <n v="23.428571428571427"/>
    <n v="26105.082499999997"/>
    <n v="0"/>
  </r>
  <r>
    <n v="35"/>
    <m/>
    <m/>
    <x v="146"/>
    <s v="Tuesday"/>
    <s v="100 East 10th Street"/>
    <n v="153.9"/>
    <n v="145.9"/>
    <n v="1"/>
    <n v="491"/>
    <s v="Scheduled"/>
    <n v="145.9"/>
    <n v="26250.982499999998"/>
    <n v="0"/>
  </r>
  <r>
    <n v="35"/>
    <m/>
    <m/>
    <x v="147"/>
    <s v="Friday"/>
    <s v="100 East 10th Street"/>
    <n v="171.78"/>
    <n v="163.78"/>
    <n v="3"/>
    <n v="494"/>
    <s v="Scheduled"/>
    <n v="54.593333333333334"/>
    <n v="26414.762499999997"/>
    <n v="163.78"/>
  </r>
  <r>
    <n v="36"/>
    <m/>
    <m/>
    <x v="148"/>
    <s v="Monday"/>
    <s v="100 East 10th Street"/>
    <n v="268.62"/>
    <n v="260.62"/>
    <n v="3"/>
    <n v="497"/>
    <s v="Scheduled"/>
    <n v="86.873333333333335"/>
    <n v="26675.382499999996"/>
    <n v="0"/>
  </r>
  <r>
    <n v="36"/>
    <m/>
    <m/>
    <x v="149"/>
    <s v="Wednesday"/>
    <s v="100 East 10th Street"/>
    <n v="165.36"/>
    <n v="157.36000000000001"/>
    <n v="2"/>
    <n v="499"/>
    <s v="Scheduled"/>
    <n v="78.680000000000007"/>
    <n v="26832.742499999997"/>
    <n v="0"/>
  </r>
  <r>
    <n v="37"/>
    <m/>
    <m/>
    <x v="150"/>
    <s v="Monday"/>
    <s v="100 East 10th Street"/>
    <n v="337.86"/>
    <n v="329.86"/>
    <n v="5"/>
    <n v="504"/>
    <s v="Scheduled"/>
    <n v="65.972000000000008"/>
    <n v="27162.602499999997"/>
    <n v="337.86"/>
  </r>
  <r>
    <n v="46"/>
    <m/>
    <m/>
    <x v="151"/>
    <s v="Tuesday"/>
    <s v="100 East 10th Street"/>
    <n v="526"/>
    <n v="518"/>
    <n v="64"/>
    <n v="568"/>
    <s v="Scheduled"/>
    <n v="8.09375"/>
    <n v="27680.602499999997"/>
    <n v="0"/>
  </r>
  <r>
    <n v="46"/>
    <m/>
    <m/>
    <x v="152"/>
    <s v="Friday"/>
    <s v="100 East 10th Street"/>
    <n v="245.88000000000002"/>
    <n v="237.88000000000002"/>
    <n v="3"/>
    <n v="571"/>
    <s v="Scheduled"/>
    <n v="79.293333333333337"/>
    <n v="27918.482499999998"/>
    <n v="0"/>
  </r>
  <r>
    <n v="47"/>
    <m/>
    <m/>
    <x v="153"/>
    <s v="Sunday"/>
    <s v="100 East 10th Street"/>
    <n v="203.5"/>
    <n v="195.5"/>
    <n v="2"/>
    <n v="573"/>
    <s v="Scheduled"/>
    <n v="97.75"/>
    <n v="28113.982499999998"/>
    <n v="203.5"/>
  </r>
  <r>
    <n v="47"/>
    <m/>
    <m/>
    <x v="154"/>
    <s v="Tuesday"/>
    <s v="100 East 10th Street"/>
    <n v="82.66"/>
    <n v="74.66"/>
    <n v="2"/>
    <n v="575"/>
    <s v="Scheduled"/>
    <n v="37.33"/>
    <n v="28188.642499999998"/>
    <n v="0"/>
  </r>
  <r>
    <n v="47"/>
    <m/>
    <m/>
    <x v="155"/>
    <s v="Friday"/>
    <s v="100 East 10th Street"/>
    <n v="179"/>
    <n v="171"/>
    <n v="3"/>
    <n v="578"/>
    <s v="Scheduled"/>
    <n v="57"/>
    <n v="28359.642499999998"/>
    <n v="0"/>
  </r>
  <r>
    <n v="48"/>
    <m/>
    <m/>
    <x v="156"/>
    <s v="Wednesday"/>
    <s v="100 East 10th Street"/>
    <n v="189"/>
    <n v="181"/>
    <n v="5"/>
    <n v="583"/>
    <s v="Scheduled"/>
    <n v="36.200000000000003"/>
    <n v="28540.642499999998"/>
    <n v="0"/>
  </r>
  <r>
    <n v="48"/>
    <m/>
    <m/>
    <x v="157"/>
    <s v="Saturday"/>
    <s v="100 East 10th Street"/>
    <n v="199"/>
    <n v="191"/>
    <n v="3"/>
    <n v="586"/>
    <s v="Scheduled"/>
    <n v="63.666666666666664"/>
    <n v="28731.642499999998"/>
    <n v="0"/>
  </r>
  <r>
    <n v="49"/>
    <m/>
    <m/>
    <x v="158"/>
    <s v="Thursday"/>
    <s v="100 East 10th Street"/>
    <n v="200"/>
    <n v="192"/>
    <n v="5"/>
    <n v="591"/>
    <s v="Scheduled"/>
    <n v="38.4"/>
    <n v="28923.642499999998"/>
    <n v="0"/>
  </r>
  <r>
    <n v="50"/>
    <m/>
    <m/>
    <x v="159"/>
    <s v="Sunday"/>
    <s v="100 East 10th Street"/>
    <n v="175"/>
    <n v="167"/>
    <n v="3"/>
    <n v="594"/>
    <s v="Scheduled"/>
    <n v="55.666666666666664"/>
    <n v="29090.642499999998"/>
    <n v="0"/>
  </r>
  <r>
    <n v="50"/>
    <m/>
    <m/>
    <x v="160"/>
    <s v="Wednesday"/>
    <s v="100 East 10th Street"/>
    <n v="234.34000000000003"/>
    <n v="226.34000000000003"/>
    <n v="3"/>
    <n v="597"/>
    <s v="Scheduled"/>
    <n v="75.446666666666673"/>
    <n v="29316.982499999998"/>
    <n v="0"/>
  </r>
  <r>
    <n v="51"/>
    <m/>
    <m/>
    <x v="161"/>
    <s v="Monday"/>
    <s v="100 East 10th Street"/>
    <n v="352.32000000000005"/>
    <n v="344.32000000000005"/>
    <n v="5"/>
    <n v="602"/>
    <s v="Store"/>
    <n v="68.864000000000004"/>
    <n v="29661.302499999998"/>
    <n v="0"/>
  </r>
  <r>
    <n v="52"/>
    <m/>
    <m/>
    <x v="162"/>
    <s v="Monday"/>
    <s v="100 East 10th Street"/>
    <n v="260"/>
    <n v="252"/>
    <n v="7"/>
    <n v="609"/>
    <s v="Scheduled"/>
    <n v="36"/>
    <n v="29913.302499999998"/>
    <n v="0"/>
  </r>
  <r>
    <n v="52"/>
    <m/>
    <m/>
    <x v="163"/>
    <s v="Thursday"/>
    <s v="100 East 10th Street"/>
    <n v="100"/>
    <n v="92"/>
    <n v="3"/>
    <n v="612"/>
    <s v="Scheduled"/>
    <n v="30.666666666666668"/>
    <n v="30005.302499999998"/>
    <n v="0"/>
  </r>
  <r>
    <n v="1"/>
    <m/>
    <m/>
    <x v="164"/>
    <s v="Saturday"/>
    <s v="100 East 10th Street"/>
    <n v="103.74"/>
    <n v="95.74"/>
    <n v="9"/>
    <n v="621"/>
    <s v="Scheduled"/>
    <n v="10.637777777777778"/>
    <n v="30101.0425"/>
    <n v="0"/>
  </r>
  <r>
    <n v="2"/>
    <m/>
    <m/>
    <x v="165"/>
    <s v="Wednesday"/>
    <s v="100 East 10th Street"/>
    <n v="371.78"/>
    <n v="363.78"/>
    <n v="4"/>
    <n v="625"/>
    <s v="Scheduled"/>
    <n v="90.944999999999993"/>
    <n v="30464.822499999998"/>
    <n v="0"/>
  </r>
  <r>
    <n v="3"/>
    <m/>
    <m/>
    <x v="166"/>
    <s v="Monday"/>
    <s v="100 East 10th Street"/>
    <n v="273.55"/>
    <n v="265.55"/>
    <n v="5"/>
    <n v="630"/>
    <s v="Scheduled"/>
    <n v="53.11"/>
    <n v="30730.372499999998"/>
    <n v="0"/>
  </r>
  <r>
    <n v="4"/>
    <m/>
    <m/>
    <x v="167"/>
    <s v="Monday"/>
    <s v="100 East 10th Street"/>
    <n v="360.6"/>
    <n v="352.6"/>
    <n v="7"/>
    <n v="637"/>
    <s v="Scheduled"/>
    <n v="50.371428571428574"/>
    <n v="31082.972499999996"/>
    <n v="0"/>
  </r>
  <r>
    <n v="4"/>
    <m/>
    <m/>
    <x v="168"/>
    <s v="Friday"/>
    <s v="100 East 10th Street"/>
    <n v="264.56"/>
    <n v="256.56"/>
    <n v="4"/>
    <n v="641"/>
    <s v="Scheduled"/>
    <n v="64.14"/>
    <n v="31339.532499999998"/>
    <n v="0"/>
  </r>
  <r>
    <n v="5"/>
    <m/>
    <m/>
    <x v="169"/>
    <s v="Wednesday"/>
    <s v="100 East 10th Street"/>
    <n v="294.77999999999997"/>
    <n v="286.77999999999997"/>
    <n v="5"/>
    <n v="646"/>
    <s v="Scheduled"/>
    <n v="57.355999999999995"/>
    <n v="31626.312499999996"/>
    <n v="0"/>
  </r>
  <r>
    <n v="6"/>
    <m/>
    <m/>
    <x v="170"/>
    <s v="Tuesday"/>
    <s v="100 East 10th Street"/>
    <n v="294.88"/>
    <n v="286.88"/>
    <n v="6"/>
    <n v="652"/>
    <s v="Scheduled"/>
    <n v="47.813333333333333"/>
    <n v="31913.192499999997"/>
    <n v="0"/>
  </r>
  <r>
    <n v="6"/>
    <m/>
    <m/>
    <x v="171"/>
    <s v="Friday"/>
    <s v="100 East 10th Street"/>
    <n v="344.02"/>
    <n v="336.02"/>
    <n v="3"/>
    <n v="655"/>
    <s v="Scheduled"/>
    <n v="112.00666666666666"/>
    <n v="32249.212499999998"/>
    <n v="0"/>
  </r>
  <r>
    <n v="7"/>
    <m/>
    <m/>
    <x v="172"/>
    <s v="Thursday"/>
    <s v="100 East 10th Street"/>
    <n v="275.7"/>
    <n v="267.7"/>
    <n v="6"/>
    <n v="661"/>
    <s v="Scheduled"/>
    <n v="44.616666666666667"/>
    <n v="32516.912499999999"/>
    <n v="0"/>
  </r>
  <r>
    <n v="8"/>
    <m/>
    <m/>
    <x v="173"/>
    <s v="Tuesday"/>
    <s v="100 East 10th Street"/>
    <n v="564.22"/>
    <n v="556.22"/>
    <n v="11"/>
    <n v="666"/>
    <s v="Scheduled"/>
    <n v="50.56545454545455"/>
    <n v="33073.1325"/>
    <n v="0"/>
  </r>
  <r>
    <n v="9"/>
    <m/>
    <m/>
    <x v="174"/>
    <s v="Saturday"/>
    <s v="100 East 10th Street"/>
    <n v="533.88"/>
    <n v="525.88"/>
    <n v="11"/>
    <n v="677"/>
    <s v="Scheduled"/>
    <n v="47.807272727272725"/>
    <n v="33599.012499999997"/>
    <n v="0"/>
  </r>
  <r>
    <n v="10"/>
    <m/>
    <m/>
    <x v="175"/>
    <s v="Friday"/>
    <s v="100 East 10th Street"/>
    <n v="271.43"/>
    <n v="263.43"/>
    <n v="6"/>
    <n v="683"/>
    <s v="Scheduled"/>
    <n v="43.905000000000001"/>
    <n v="33862.442499999997"/>
    <n v="0"/>
  </r>
  <r>
    <n v="11"/>
    <m/>
    <m/>
    <x v="176"/>
    <s v="Tuesday"/>
    <s v="100 East 10th Street"/>
    <n v="145.22999999999999"/>
    <n v="137.22999999999999"/>
    <n v="4"/>
    <n v="687"/>
    <s v="Scheduled"/>
    <n v="34.307499999999997"/>
    <n v="33999.672500000001"/>
    <n v="0"/>
  </r>
  <r>
    <n v="12"/>
    <m/>
    <m/>
    <x v="177"/>
    <s v="Thursday"/>
    <s v="100 East 10th Street"/>
    <n v="512.78"/>
    <n v="504.78"/>
    <n v="9"/>
    <n v="696"/>
    <s v="Scheduled"/>
    <n v="56.086666666666666"/>
    <n v="34504.452499999999"/>
    <n v="0"/>
  </r>
  <r>
    <n v="13"/>
    <m/>
    <m/>
    <x v="178"/>
    <s v="Wednesday"/>
    <s v="100 East 10th Street"/>
    <n v="350.82"/>
    <n v="342.82"/>
    <n v="6"/>
    <n v="702"/>
    <s v="Scheduled"/>
    <n v="57.136666666666663"/>
    <n v="34847.272499999999"/>
    <n v="0"/>
  </r>
  <r>
    <n v="14"/>
    <m/>
    <m/>
    <x v="179"/>
    <s v="Wednesday"/>
    <s v="100 East 10th Street"/>
    <n v="283.89999999999998"/>
    <n v="275.89999999999998"/>
    <n v="7"/>
    <n v="709"/>
    <s v="Scheduled"/>
    <n v="39.414285714285711"/>
    <n v="35123.172500000001"/>
    <n v="0"/>
  </r>
  <r>
    <n v="15"/>
    <m/>
    <m/>
    <x v="180"/>
    <s v="Monday"/>
    <s v="100 East 10th Street"/>
    <n v="476.45000000000005"/>
    <n v="468.45000000000005"/>
    <n v="5"/>
    <n v="714"/>
    <s v="Scheduled"/>
    <n v="93.690000000000012"/>
    <n v="35591.622499999998"/>
    <n v="0"/>
  </r>
  <r>
    <n v="15"/>
    <m/>
    <m/>
    <x v="181"/>
    <s v="Friday"/>
    <s v="100 East 10th Street"/>
    <n v="217.02"/>
    <n v="209.02"/>
    <n v="4"/>
    <n v="718"/>
    <s v="Scheduled"/>
    <n v="52.255000000000003"/>
    <n v="35800.642499999994"/>
    <n v="0"/>
  </r>
  <r>
    <n v="17"/>
    <m/>
    <m/>
    <x v="182"/>
    <s v="Monday"/>
    <s v="100 East 10th Street"/>
    <n v="412.96000000000004"/>
    <n v="404.96000000000004"/>
    <n v="10"/>
    <n v="728"/>
    <s v="Scheduled"/>
    <n v="40.496000000000002"/>
    <n v="36205.602499999994"/>
    <n v="0"/>
  </r>
  <r>
    <n v="18"/>
    <m/>
    <m/>
    <x v="183"/>
    <s v="Tuesday"/>
    <s v="100 East 10th Street"/>
    <n v="401.98"/>
    <n v="393.98"/>
    <n v="8"/>
    <n v="736"/>
    <s v="Scheduled"/>
    <n v="49.247500000000002"/>
    <n v="36599.582499999997"/>
    <n v="0"/>
  </r>
  <r>
    <n v="19"/>
    <m/>
    <m/>
    <x v="184"/>
    <s v="Wednesday"/>
    <s v="100 East 10th Street"/>
    <n v="369.20000000000005"/>
    <n v="361.20000000000005"/>
    <n v="8"/>
    <n v="744"/>
    <s v="Scheduled"/>
    <n v="45.150000000000006"/>
    <n v="36960.782499999994"/>
    <n v="0"/>
  </r>
  <r>
    <n v="20"/>
    <m/>
    <m/>
    <x v="185"/>
    <s v="Wednesday"/>
    <s v="100 East 10th Street"/>
    <n v="399.4"/>
    <n v="391.4"/>
    <n v="7"/>
    <n v="751"/>
    <s v="Scheduled"/>
    <n v="55.914285714285711"/>
    <n v="37352.182499999995"/>
    <n v="391.4"/>
  </r>
  <r>
    <n v="21"/>
    <m/>
    <m/>
    <x v="186"/>
    <s v="Tuesday"/>
    <s v="100 East 10th Street"/>
    <n v="294.32"/>
    <n v="286.32"/>
    <n v="6"/>
    <n v="757"/>
    <s v="Scheduled"/>
    <n v="47.72"/>
    <n v="37638.502499999995"/>
    <n v="0"/>
  </r>
  <r>
    <n v="22"/>
    <m/>
    <m/>
    <x v="187"/>
    <s v="Tuesday"/>
    <s v="100 East 10th Street"/>
    <n v="372.74"/>
    <n v="364.74"/>
    <n v="7"/>
    <n v="764"/>
    <s v="Scheduled"/>
    <n v="52.105714285714285"/>
    <n v="38003.242499999993"/>
    <n v="0"/>
  </r>
  <r>
    <n v="23"/>
    <m/>
    <m/>
    <x v="188"/>
    <s v="Tuesday"/>
    <s v="100 East 10th Street"/>
    <n v="269.43"/>
    <n v="261.43"/>
    <n v="7"/>
    <n v="771"/>
    <s v="Scheduled"/>
    <n v="37.347142857142856"/>
    <n v="38264.672499999993"/>
    <n v="261.43"/>
  </r>
  <r>
    <n v="24"/>
    <m/>
    <m/>
    <x v="189"/>
    <s v="Tuesday"/>
    <s v="100 East 10th Street"/>
    <n v="294.12"/>
    <n v="286.12"/>
    <n v="7"/>
    <n v="778"/>
    <s v="Scheduled"/>
    <n v="40.874285714285712"/>
    <n v="38550.792499999996"/>
    <n v="286.12"/>
  </r>
  <r>
    <n v="25"/>
    <m/>
    <m/>
    <x v="190"/>
    <s v="Wednesday"/>
    <s v="100 East 10th Street"/>
    <n v="395.18"/>
    <n v="387.18"/>
    <n v="8"/>
    <n v="786"/>
    <s v="Scheduled"/>
    <n v="48.397500000000001"/>
    <n v="38937.972499999996"/>
    <n v="0"/>
  </r>
  <r>
    <n v="26"/>
    <m/>
    <m/>
    <x v="191"/>
    <s v="Wednesday"/>
    <s v="100 East 10th Street"/>
    <n v="361.9"/>
    <n v="353.9"/>
    <n v="7"/>
    <n v="793"/>
    <s v="Scheduled"/>
    <n v="50.557142857142857"/>
    <n v="39291.872499999998"/>
    <n v="0"/>
  </r>
  <r>
    <n v="27"/>
    <m/>
    <m/>
    <x v="192"/>
    <s v="Tuesday"/>
    <s v="100 East 10th Street"/>
    <n v="92.42"/>
    <n v="84.42"/>
    <n v="6"/>
    <n v="799"/>
    <s v="Scheduled"/>
    <n v="14.07"/>
    <n v="39376.292499999996"/>
    <n v="0"/>
  </r>
  <r>
    <n v="48"/>
    <m/>
    <m/>
    <x v="193"/>
    <s v="Monday"/>
    <s v="100 East 10th Street"/>
    <n v="300.84000000000003"/>
    <n v="292.84000000000003"/>
    <n v="146"/>
    <n v="945"/>
    <s v="Scheduled"/>
    <n v="2.0057534246575344"/>
    <n v="39669.132499999992"/>
    <n v="0"/>
  </r>
  <r>
    <n v="49"/>
    <m/>
    <m/>
    <x v="194"/>
    <s v="Monday"/>
    <s v="100 East 10th Street"/>
    <n v="380.2"/>
    <n v="372.2"/>
    <n v="7"/>
    <n v="952"/>
    <s v="Scheduled"/>
    <n v="53.171428571428571"/>
    <n v="40041.33249999999"/>
    <n v="0"/>
  </r>
  <r>
    <n v="50"/>
    <m/>
    <m/>
    <x v="195"/>
    <s v="Monday"/>
    <s v="100 East 10th Street"/>
    <n v="389.28"/>
    <n v="381.28"/>
    <n v="7"/>
    <n v="959"/>
    <s v="Scheduled"/>
    <n v="54.468571428571423"/>
    <n v="40422.612499999988"/>
    <n v="0"/>
  </r>
  <r>
    <n v="50"/>
    <m/>
    <m/>
    <x v="196"/>
    <s v="Friday"/>
    <s v="100 East 10th Street"/>
    <n v="293.22000000000003"/>
    <n v="285.22000000000003"/>
    <n v="4"/>
    <n v="963"/>
    <s v="Store"/>
    <n v="71.305000000000007"/>
    <n v="40707.83249999999"/>
    <n v="0"/>
  </r>
  <r>
    <n v="51"/>
    <m/>
    <m/>
    <x v="197"/>
    <s v="Monday"/>
    <s v="100 East 10th Street"/>
    <n v="198"/>
    <n v="190"/>
    <n v="3"/>
    <n v="966"/>
    <s v="Scheduled"/>
    <n v="63.333333333333336"/>
    <n v="40897.83249999999"/>
    <n v="0"/>
  </r>
  <r>
    <n v="52"/>
    <m/>
    <m/>
    <x v="198"/>
    <s v="Monday"/>
    <s v="100 East 10th Street"/>
    <n v="365.62"/>
    <n v="357.62"/>
    <n v="7"/>
    <n v="973"/>
    <s v="Scheduled"/>
    <n v="51.088571428571427"/>
    <n v="41255.452499999992"/>
    <n v="0"/>
  </r>
  <r>
    <n v="52"/>
    <m/>
    <m/>
    <x v="199"/>
    <s v="Saturday"/>
    <s v="100 East 10th Street"/>
    <n v="145.04"/>
    <n v="137.04"/>
    <n v="5"/>
    <n v="978"/>
    <s v="Store"/>
    <n v="27.407999999999998"/>
    <n v="41392.492499999993"/>
    <n v="0"/>
  </r>
  <r>
    <n v="53"/>
    <m/>
    <m/>
    <x v="200"/>
    <s v="Monday"/>
    <s v="100 East 10th Street"/>
    <n v="205.22"/>
    <n v="197.22"/>
    <n v="2"/>
    <n v="980"/>
    <s v="Scheduled"/>
    <n v="98.61"/>
    <n v="41589.712499999994"/>
    <n v="0"/>
  </r>
  <r>
    <n v="1"/>
    <m/>
    <m/>
    <x v="201"/>
    <s v="Monday"/>
    <s v="100 East 10th Street"/>
    <n v="326.39999999999998"/>
    <n v="318.39999999999998"/>
    <n v="7"/>
    <n v="987"/>
    <s v="Scheduled"/>
    <n v="45.48571428571428"/>
    <n v="58635.442500000005"/>
    <n v="0"/>
  </r>
  <r>
    <n v="2"/>
    <m/>
    <m/>
    <x v="202"/>
    <s v="Monday"/>
    <s v="Greenville Blvd &amp; Red Banks Rd"/>
    <n v="131.54"/>
    <n v="123.53999999999999"/>
    <n v="7"/>
    <n v="994"/>
    <s v="Scheduled"/>
    <n v="17.648571428571426"/>
    <n v="42031.652499999997"/>
    <n v="0"/>
  </r>
  <r>
    <n v="2"/>
    <m/>
    <m/>
    <x v="202"/>
    <s v="Monday"/>
    <s v="100 East 10th Street"/>
    <n v="345.44"/>
    <n v="337.44"/>
    <n v="7"/>
    <n v="994"/>
    <s v="Scheduled"/>
    <n v="48.205714285714286"/>
    <n v="42369.092499999999"/>
    <n v="0"/>
  </r>
  <r>
    <n v="2"/>
    <m/>
    <m/>
    <x v="202"/>
    <s v="Monday"/>
    <s v="Stanton Sq &amp; Arlington Dr"/>
    <n v="59.78"/>
    <n v="51.78"/>
    <n v="7"/>
    <n v="994"/>
    <s v="Scheduled"/>
    <n v="7.3971428571428577"/>
    <n v="42420.872499999998"/>
    <n v="0"/>
  </r>
  <r>
    <n v="4"/>
    <m/>
    <m/>
    <x v="203"/>
    <s v="Monday"/>
    <s v="Greenville Blvd &amp; Red Banks Rd"/>
    <n v="224.56"/>
    <n v="216.56"/>
    <n v="7"/>
    <n v="1001"/>
    <s v="Scheduled"/>
    <n v="30.937142857142856"/>
    <n v="42637.432499999995"/>
    <n v="0"/>
  </r>
  <r>
    <n v="4"/>
    <m/>
    <m/>
    <x v="203"/>
    <s v="Monday"/>
    <s v="100 East 10th Street"/>
    <n v="426.98"/>
    <n v="418.98"/>
    <n v="7"/>
    <n v="1001"/>
    <s v="Scheduled"/>
    <n v="59.854285714285716"/>
    <n v="43056.412499999999"/>
    <n v="0"/>
  </r>
  <r>
    <n v="4"/>
    <m/>
    <m/>
    <x v="203"/>
    <s v="Monday"/>
    <s v="Stanton Sq &amp; Arlington Dr"/>
    <n v="378.88"/>
    <n v="370.88"/>
    <n v="7"/>
    <n v="1001"/>
    <s v="Scheduled"/>
    <n v="52.982857142857142"/>
    <n v="43427.292499999996"/>
    <n v="0"/>
  </r>
  <r>
    <n v="5"/>
    <m/>
    <m/>
    <x v="204"/>
    <s v="Monday"/>
    <s v="Greenville Blvd &amp; Red Banks Rd"/>
    <n v="248.76"/>
    <n v="240.76"/>
    <n v="7"/>
    <n v="1008"/>
    <s v="Scheduled"/>
    <n v="34.394285714285715"/>
    <n v="43668.052499999998"/>
    <n v="0"/>
  </r>
  <r>
    <n v="5"/>
    <m/>
    <m/>
    <x v="205"/>
    <s v="Monday"/>
    <s v="100 East 10th Street"/>
    <n v="388.78"/>
    <n v="380.78"/>
    <n v="7"/>
    <n v="1008"/>
    <s v="Scheduled"/>
    <n v="54.397142857142853"/>
    <n v="44048.832499999997"/>
    <n v="0"/>
  </r>
  <r>
    <n v="5"/>
    <m/>
    <m/>
    <x v="205"/>
    <s v="Monday"/>
    <s v="Stanton Sq &amp; Arlington Dr"/>
    <n v="148.88"/>
    <n v="140.88"/>
    <n v="7"/>
    <n v="1008"/>
    <s v="Scheduled"/>
    <n v="20.125714285714285"/>
    <n v="44189.712499999994"/>
    <n v="0"/>
  </r>
  <r>
    <n v="6"/>
    <m/>
    <m/>
    <x v="206"/>
    <s v="Monday"/>
    <s v="Greenville Blvd &amp; Red Banks Rd"/>
    <n v="248.48"/>
    <n v="240.48"/>
    <n v="7"/>
    <n v="1015"/>
    <s v="Scheduled"/>
    <n v="34.354285714285716"/>
    <n v="44430.192499999997"/>
    <n v="0"/>
  </r>
  <r>
    <n v="6"/>
    <m/>
    <m/>
    <x v="206"/>
    <s v="Monday"/>
    <s v="100 East 10th Street"/>
    <n v="204.88"/>
    <n v="196.88"/>
    <n v="7"/>
    <n v="1015"/>
    <s v="Scheduled"/>
    <n v="28.125714285714285"/>
    <n v="44627.072499999995"/>
    <n v="0"/>
  </r>
  <r>
    <n v="6"/>
    <m/>
    <m/>
    <x v="206"/>
    <s v="Monday"/>
    <s v="Stanton Sq &amp; Arlington Dr"/>
    <n v="437.3"/>
    <n v="429.3"/>
    <n v="7"/>
    <n v="1015"/>
    <s v="Scheduled"/>
    <n v="61.328571428571429"/>
    <n v="45056.372499999998"/>
    <n v="0"/>
  </r>
  <r>
    <n v="6"/>
    <m/>
    <m/>
    <x v="207"/>
    <s v="Wednesday"/>
    <s v="Stanton Sq &amp; Arlington Dr"/>
    <n v="54.92"/>
    <n v="46.92"/>
    <n v="2"/>
    <n v="1017"/>
    <s v="Me"/>
    <n v="23.46"/>
    <n v="45103.292499999996"/>
    <n v="0"/>
  </r>
  <r>
    <n v="7"/>
    <m/>
    <m/>
    <x v="208"/>
    <s v="Monday"/>
    <s v="Greenville Blvd &amp; Red Banks Rd"/>
    <n v="248.16"/>
    <n v="240.16"/>
    <n v="7"/>
    <n v="1022"/>
    <s v="Scheduled"/>
    <n v="34.308571428571426"/>
    <n v="45343.452499999999"/>
    <n v="0"/>
  </r>
  <r>
    <n v="7"/>
    <m/>
    <m/>
    <x v="208"/>
    <s v="Monday"/>
    <s v="100 East 10th Street"/>
    <n v="508.85999999999996"/>
    <n v="500.85999999999996"/>
    <n v="7"/>
    <n v="1022"/>
    <s v="Scheduled"/>
    <n v="71.551428571428559"/>
    <n v="45844.3125"/>
    <n v="0"/>
  </r>
  <r>
    <n v="7"/>
    <m/>
    <m/>
    <x v="208"/>
    <s v="Monday"/>
    <s v="Stanton Sq &amp; Arlington Dr"/>
    <n v="313.12"/>
    <n v="305.12"/>
    <n v="5"/>
    <n v="1022"/>
    <s v="Scheduled"/>
    <n v="61.024000000000001"/>
    <n v="46149.432500000003"/>
    <n v="0"/>
  </r>
  <r>
    <n v="8"/>
    <m/>
    <m/>
    <x v="209"/>
    <s v="Monday"/>
    <s v="Greenville Blvd &amp; Red Banks Rd"/>
    <n v="186.6"/>
    <n v="178.6"/>
    <n v="7"/>
    <n v="1029"/>
    <s v="Scheduled"/>
    <n v="25.514285714285712"/>
    <n v="46328.032500000001"/>
    <n v="0"/>
  </r>
  <r>
    <n v="8"/>
    <m/>
    <m/>
    <x v="209"/>
    <s v="Monday"/>
    <s v="100 East 10th Street"/>
    <n v="373.56"/>
    <n v="365.56"/>
    <n v="7"/>
    <n v="1029"/>
    <s v="Scheduled"/>
    <n v="52.222857142857144"/>
    <n v="46693.592499999999"/>
    <n v="0"/>
  </r>
  <r>
    <n v="8"/>
    <m/>
    <m/>
    <x v="209"/>
    <s v="Monday"/>
    <s v="Stanton Sq &amp; Arlington Dr"/>
    <n v="497.26"/>
    <n v="489.26"/>
    <n v="7"/>
    <n v="1029"/>
    <s v="Scheduled"/>
    <n v="69.894285714285715"/>
    <n v="47182.852500000001"/>
    <n v="0"/>
  </r>
  <r>
    <n v="9"/>
    <m/>
    <m/>
    <x v="210"/>
    <s v="Monday"/>
    <s v="Greenville Blvd &amp; Red Banks Rd"/>
    <n v="294.18"/>
    <n v="286.18"/>
    <n v="7"/>
    <n v="1036"/>
    <s v="Scheduled"/>
    <n v="40.882857142857141"/>
    <n v="47469.032500000001"/>
    <n v="0"/>
  </r>
  <r>
    <n v="9"/>
    <m/>
    <m/>
    <x v="210"/>
    <s v="Monday"/>
    <s v="100 East 10th Street"/>
    <n v="422.36"/>
    <n v="414.36"/>
    <n v="7"/>
    <n v="1036"/>
    <s v="Scheduled"/>
    <n v="59.194285714285719"/>
    <n v="47883.392500000002"/>
    <n v="0"/>
  </r>
  <r>
    <n v="9"/>
    <m/>
    <m/>
    <x v="210"/>
    <s v="Monday"/>
    <s v="Stanton Sq &amp; Arlington Dr"/>
    <n v="471.72"/>
    <n v="463.72"/>
    <n v="7"/>
    <n v="1036"/>
    <s v="Scheduled"/>
    <n v="66.245714285714286"/>
    <n v="48347.112500000003"/>
    <n v="0"/>
  </r>
  <r>
    <n v="9"/>
    <m/>
    <m/>
    <x v="211"/>
    <s v="Saturday"/>
    <s v="100 East 10th Street"/>
    <n v="361.18"/>
    <n v="353.18"/>
    <n v="5"/>
    <n v="1041"/>
    <s v="Store"/>
    <n v="70.635999999999996"/>
    <n v="48700.292500000003"/>
    <n v="0"/>
  </r>
  <r>
    <n v="9"/>
    <m/>
    <m/>
    <x v="211"/>
    <s v="Saturday"/>
    <s v="Stanton Sq &amp; Arlington Dr"/>
    <n v="358.41999999999996"/>
    <n v="350.41999999999996"/>
    <n v="5"/>
    <n v="1041"/>
    <s v="Me"/>
    <n v="70.083999999999989"/>
    <n v="49050.712500000001"/>
    <n v="0"/>
  </r>
  <r>
    <n v="10"/>
    <m/>
    <m/>
    <x v="212"/>
    <s v="Monday"/>
    <s v="Greenville Blvd &amp; Red Banks Rd"/>
    <n v="268.68"/>
    <n v="260.68"/>
    <n v="7"/>
    <n v="1043"/>
    <s v="Scheduled"/>
    <n v="37.24"/>
    <n v="58635.442500000005"/>
    <n v="0"/>
  </r>
  <r>
    <n v="11"/>
    <m/>
    <m/>
    <x v="213"/>
    <s v="Monday"/>
    <s v="Greenville Blvd &amp; Red Banks Rd"/>
    <n v="211.49"/>
    <n v="203.49"/>
    <n v="7"/>
    <n v="1050"/>
    <s v="Scheduled"/>
    <n v="29.07"/>
    <n v="49514.8825"/>
    <n v="0"/>
  </r>
  <r>
    <n v="11"/>
    <m/>
    <m/>
    <x v="213"/>
    <s v="Monday"/>
    <s v="Stanton Sq &amp; Arlington Dr"/>
    <n v="527.48"/>
    <n v="519.48"/>
    <n v="9"/>
    <n v="1050"/>
    <s v="Scheduled"/>
    <n v="57.72"/>
    <n v="50034.362500000003"/>
    <n v="0"/>
  </r>
  <r>
    <n v="11"/>
    <m/>
    <m/>
    <x v="213"/>
    <s v="Monday"/>
    <s v="100 East 10th Street"/>
    <n v="457.5"/>
    <n v="449.5"/>
    <n v="9"/>
    <n v="1050"/>
    <s v="Scheduled"/>
    <n v="49.944444444444443"/>
    <n v="50483.862500000003"/>
    <n v="0"/>
  </r>
  <r>
    <n v="12"/>
    <m/>
    <m/>
    <x v="214"/>
    <s v="Monday"/>
    <s v="100 East 10th Street"/>
    <n v="295.38"/>
    <n v="287.38"/>
    <n v="7"/>
    <n v="1057"/>
    <s v="Scheduled"/>
    <n v="41.054285714285712"/>
    <n v="50771.2425"/>
    <n v="80.34"/>
  </r>
  <r>
    <n v="12"/>
    <m/>
    <m/>
    <x v="214"/>
    <s v="Monday"/>
    <s v="Stanton Sq &amp; Arlington Dr"/>
    <n v="313.06"/>
    <n v="305.06"/>
    <n v="7"/>
    <n v="1057"/>
    <s v="Scheduled"/>
    <n v="43.58"/>
    <n v="51076.302499999998"/>
    <n v="0"/>
  </r>
  <r>
    <n v="12"/>
    <m/>
    <m/>
    <x v="214"/>
    <s v="Monday"/>
    <s v="Greenville Blvd &amp; Red Banks Rd"/>
    <n v="254.82"/>
    <n v="246.82"/>
    <n v="7"/>
    <n v="1057"/>
    <s v="Scheduled"/>
    <n v="35.26"/>
    <n v="51323.122499999998"/>
    <n v="102"/>
  </r>
  <r>
    <n v="13"/>
    <m/>
    <m/>
    <x v="215"/>
    <s v="Sunday"/>
    <s v="100 East 10th Street"/>
    <n v="377.42"/>
    <n v="369.42"/>
    <n v="6"/>
    <n v="1063"/>
    <s v="Store"/>
    <n v="61.57"/>
    <n v="58635.442500000005"/>
    <n v="0"/>
  </r>
  <r>
    <n v="13"/>
    <m/>
    <m/>
    <x v="216"/>
    <s v="Monday"/>
    <s v="Greenville Blvd &amp; Red Banks Rd"/>
    <n v="227.62"/>
    <n v="219.62"/>
    <n v="7"/>
    <n v="1064"/>
    <s v="Scheduled"/>
    <n v="31.374285714285715"/>
    <n v="51912.162499999999"/>
    <n v="0"/>
  </r>
  <r>
    <n v="13"/>
    <m/>
    <m/>
    <x v="216"/>
    <s v="Monday"/>
    <s v="Stanton Sq &amp; Arlington Dr"/>
    <n v="406.3"/>
    <n v="398.3"/>
    <n v="7"/>
    <n v="1064"/>
    <s v="Scheduled"/>
    <n v="56.9"/>
    <n v="52310.462500000001"/>
    <n v="0"/>
  </r>
  <r>
    <n v="14"/>
    <m/>
    <m/>
    <x v="217"/>
    <s v="Monday"/>
    <s v="Greenville Blvd &amp; Red Banks Rd"/>
    <n v="247.40000000000003"/>
    <n v="239.40000000000003"/>
    <n v="7"/>
    <n v="1071"/>
    <s v="Scheduled"/>
    <n v="34.200000000000003"/>
    <n v="52549.862500000003"/>
    <n v="0"/>
  </r>
  <r>
    <n v="14"/>
    <m/>
    <m/>
    <x v="217"/>
    <s v="Monday"/>
    <s v="100 East 10th Street"/>
    <n v="595.07999999999993"/>
    <n v="587.07999999999993"/>
    <n v="7"/>
    <n v="1071"/>
    <s v="Scheduled"/>
    <n v="83.868571428571414"/>
    <n v="53136.942500000005"/>
    <n v="0"/>
  </r>
  <r>
    <n v="14"/>
    <m/>
    <m/>
    <x v="217"/>
    <s v="Monday"/>
    <s v="Stanton Sq &amp; Arlington Dr"/>
    <n v="380.65999999999997"/>
    <n v="372.65999999999997"/>
    <n v="7"/>
    <n v="1071"/>
    <s v="Scheduled"/>
    <n v="53.23714285714285"/>
    <n v="53509.602500000008"/>
    <n v="0"/>
  </r>
  <r>
    <n v="15"/>
    <m/>
    <m/>
    <x v="218"/>
    <s v="Monday"/>
    <s v="Greenville Blvd &amp; Red Banks Rd"/>
    <n v="244.56"/>
    <n v="236.56"/>
    <n v="7"/>
    <n v="1078"/>
    <s v="Scheduled"/>
    <n v="33.794285714285714"/>
    <n v="53746.162500000006"/>
    <n v="0"/>
  </r>
  <r>
    <n v="15"/>
    <m/>
    <m/>
    <x v="218"/>
    <s v="Monday"/>
    <s v="100 East 10th Street"/>
    <n v="405.96000000000004"/>
    <n v="397.96000000000004"/>
    <n v="7"/>
    <n v="1078"/>
    <s v="Scheduled"/>
    <n v="56.851428571428578"/>
    <n v="54144.122500000005"/>
    <n v="0"/>
  </r>
  <r>
    <n v="15"/>
    <m/>
    <m/>
    <x v="218"/>
    <s v="Monday"/>
    <s v="Stanton Sq &amp; Arlington Dr"/>
    <n v="341.62"/>
    <n v="333.62"/>
    <n v="7"/>
    <n v="1078"/>
    <s v="Scheduled"/>
    <n v="47.660000000000004"/>
    <n v="54477.742500000008"/>
    <n v="0"/>
  </r>
  <r>
    <n v="16"/>
    <m/>
    <m/>
    <x v="219"/>
    <s v="Monday"/>
    <s v="Greenville Blvd &amp; Red Banks Rd"/>
    <n v="201.5"/>
    <n v="193.5"/>
    <n v="7"/>
    <n v="1085"/>
    <s v="Scheduled"/>
    <n v="27.642857142857142"/>
    <n v="54671.242500000008"/>
    <n v="0"/>
  </r>
  <r>
    <n v="16"/>
    <m/>
    <m/>
    <x v="219"/>
    <s v="Monday"/>
    <s v="100 East 10th Street"/>
    <n v="414.9"/>
    <n v="406.9"/>
    <n v="7"/>
    <n v="1085"/>
    <s v="Scheduled"/>
    <n v="58.128571428571426"/>
    <n v="55078.142500000009"/>
    <n v="0"/>
  </r>
  <r>
    <n v="16"/>
    <m/>
    <m/>
    <x v="219"/>
    <s v="Monday"/>
    <s v="Stanton Sq &amp; Arlington Dr"/>
    <n v="453.74"/>
    <n v="445.74"/>
    <n v="7"/>
    <n v="1085"/>
    <s v="Scheduled"/>
    <n v="63.677142857142861"/>
    <n v="55523.882500000007"/>
    <n v="0"/>
  </r>
  <r>
    <n v="17"/>
    <m/>
    <m/>
    <x v="220"/>
    <s v="Monday"/>
    <s v="100 East 10th Street"/>
    <n v="490.96"/>
    <n v="482.96"/>
    <n v="7"/>
    <n v="1092"/>
    <s v="Scheduled"/>
    <n v="68.994285714285709"/>
    <n v="56006.842500000006"/>
    <n v="0"/>
  </r>
  <r>
    <n v="17"/>
    <m/>
    <m/>
    <x v="220"/>
    <s v="Monday"/>
    <s v="Greenville Blvd &amp; Red Banks Rd"/>
    <n v="249.07999999999998"/>
    <n v="241.07999999999998"/>
    <n v="7"/>
    <n v="1092"/>
    <s v="Scheduled"/>
    <n v="34.44"/>
    <n v="56247.922500000008"/>
    <n v="0"/>
  </r>
  <r>
    <n v="17"/>
    <m/>
    <m/>
    <x v="220"/>
    <s v="Monday"/>
    <s v="Stanton Sq &amp; Arlington Dr"/>
    <n v="480.17999999999995"/>
    <n v="472.17999999999995"/>
    <n v="7"/>
    <n v="1092"/>
    <s v="Scheduled"/>
    <n v="67.454285714285703"/>
    <n v="56720.102500000008"/>
    <n v="0"/>
  </r>
  <r>
    <n v="18"/>
    <m/>
    <m/>
    <x v="221"/>
    <s v="Monday"/>
    <s v="Greenville Blvd &amp; Red Banks Rd"/>
    <n v="224.86"/>
    <n v="216.86"/>
    <n v="7"/>
    <n v="1099"/>
    <s v="Scheduled"/>
    <n v="30.98"/>
    <n v="56936.962500000009"/>
    <n v="0"/>
  </r>
  <r>
    <n v="18"/>
    <m/>
    <m/>
    <x v="221"/>
    <s v="Monday"/>
    <s v="100 East 10th Street"/>
    <n v="377.84"/>
    <n v="369.84"/>
    <n v="7"/>
    <n v="1099"/>
    <s v="Scheduled"/>
    <n v="52.834285714285713"/>
    <n v="57306.802500000005"/>
    <n v="0"/>
  </r>
  <r>
    <n v="18"/>
    <m/>
    <m/>
    <x v="221"/>
    <s v="Monday"/>
    <s v="Stanton Sq &amp; Arlington Dr"/>
    <n v="312.74"/>
    <n v="304.74"/>
    <n v="7"/>
    <n v="1099"/>
    <s v="Scheduled"/>
    <n v="43.534285714285716"/>
    <n v="57611.542500000003"/>
    <n v="0"/>
  </r>
  <r>
    <n v="19"/>
    <m/>
    <m/>
    <x v="222"/>
    <s v="Monday"/>
    <s v="Greenville Blvd &amp; Red Banks Rd"/>
    <n v="269.86"/>
    <n v="261.86"/>
    <n v="7"/>
    <n v="1106"/>
    <s v="Scheduled"/>
    <n v="37.408571428571427"/>
    <n v="57873.402500000004"/>
    <n v="261.86"/>
  </r>
  <r>
    <n v="19"/>
    <m/>
    <m/>
    <x v="222"/>
    <s v="Monday"/>
    <s v="100 East 10th Street"/>
    <n v="511.45999999999992"/>
    <n v="503.45999999999992"/>
    <n v="7"/>
    <n v="1106"/>
    <s v="Scheduled"/>
    <n v="71.922857142857126"/>
    <n v="58376.862500000003"/>
    <n v="0"/>
  </r>
  <r>
    <n v="19"/>
    <m/>
    <m/>
    <x v="222"/>
    <s v="Monday"/>
    <s v="Stanton Sq &amp; Arlington Dr"/>
    <n v="266.58"/>
    <n v="258.58"/>
    <n v="7"/>
    <n v="1106"/>
    <s v="Scheduled"/>
    <n v="36.94"/>
    <n v="58635.442500000005"/>
    <n v="258.58"/>
  </r>
  <r>
    <m/>
    <m/>
    <m/>
    <x v="223"/>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4">
  <r>
    <x v="0"/>
    <n v="30"/>
    <d v="2023-07-25T00:00:00"/>
    <d v="2023-04-24T00:00:00"/>
    <s v="Monday"/>
    <s v="100 East 10th Street"/>
    <n v="59.6"/>
    <n v="51.6"/>
    <m/>
    <n v="0"/>
    <s v="Scheduled"/>
    <n v="51.6"/>
    <n v="51.6"/>
  </r>
  <r>
    <x v="0"/>
    <n v="30"/>
    <d v="2023-07-28T00:00:00"/>
    <d v="2023-04-27T00:00:00"/>
    <s v="Thursday"/>
    <s v="100 East 10th Street"/>
    <n v="97.1"/>
    <n v="89.1"/>
    <n v="3"/>
    <n v="3"/>
    <s v="Store"/>
    <n v="29.7"/>
    <n v="140.69999999999999"/>
  </r>
  <r>
    <x v="1"/>
    <n v="31"/>
    <d v="2023-08-04T00:00:00"/>
    <d v="2023-05-04T00:00:00"/>
    <s v="Thursday"/>
    <s v="100 East 10th Street"/>
    <n v="141.30000000000001"/>
    <n v="133.30000000000001"/>
    <n v="7"/>
    <n v="10"/>
    <s v="Store"/>
    <n v="19.042857142857144"/>
    <n v="274"/>
  </r>
  <r>
    <x v="1"/>
    <n v="32"/>
    <d v="2023-08-06T00:00:00"/>
    <d v="2023-05-06T00:00:00"/>
    <s v="Saturday"/>
    <s v="100 East 10th Street"/>
    <n v="70.599999999999994"/>
    <n v="62.599999999999994"/>
    <n v="2"/>
    <n v="12"/>
    <s v="Store"/>
    <n v="31.299999999999997"/>
    <n v="336.6"/>
  </r>
  <r>
    <x v="2"/>
    <n v="32"/>
    <d v="2023-08-12T00:00:00"/>
    <d v="2023-05-12T00:00:00"/>
    <s v="Friday"/>
    <s v="100 East 10th Street"/>
    <n v="136.4"/>
    <n v="128.4"/>
    <n v="6"/>
    <n v="18"/>
    <s v="Store"/>
    <n v="21.400000000000002"/>
    <n v="465"/>
  </r>
  <r>
    <x v="3"/>
    <n v="33"/>
    <d v="2023-08-15T00:00:00"/>
    <d v="2023-05-15T00:00:00"/>
    <s v="Monday"/>
    <s v="100 East 10th Street"/>
    <n v="79.5"/>
    <n v="71.5"/>
    <n v="3"/>
    <n v="21"/>
    <s v="Scheduled"/>
    <n v="23.833333333333332"/>
    <n v="536.5"/>
  </r>
  <r>
    <x v="3"/>
    <n v="34"/>
    <d v="2023-08-20T00:00:00"/>
    <d v="2023-05-20T00:00:00"/>
    <s v="Saturday"/>
    <s v="100 East 10th Street"/>
    <n v="104.1"/>
    <n v="96.1"/>
    <n v="5"/>
    <n v="26"/>
    <s v="Store"/>
    <n v="19.22"/>
    <n v="632.6"/>
  </r>
  <r>
    <x v="4"/>
    <n v="34"/>
    <d v="2023-08-23T00:00:00"/>
    <d v="2023-05-23T00:00:00"/>
    <s v="Tuesday"/>
    <s v="100 East 10th Street"/>
    <n v="165.2"/>
    <n v="157.19999999999999"/>
    <n v="3"/>
    <n v="29"/>
    <s v="Store"/>
    <n v="52.4"/>
    <n v="789.8"/>
  </r>
  <r>
    <x v="4"/>
    <n v="34"/>
    <d v="2023-08-26T00:00:00"/>
    <d v="2023-05-26T00:00:00"/>
    <s v="Friday"/>
    <s v="100 East 10th Street"/>
    <n v="166.5"/>
    <n v="158.5"/>
    <n v="3"/>
    <n v="32"/>
    <s v="Store"/>
    <n v="52.833333333333336"/>
    <n v="948.3"/>
  </r>
  <r>
    <x v="5"/>
    <n v="35"/>
    <d v="2023-08-31T00:00:00"/>
    <d v="2023-05-31T00:00:00"/>
    <s v="Wednesday"/>
    <s v="100 East 10th Street"/>
    <n v="127.6"/>
    <n v="119.6"/>
    <n v="5"/>
    <n v="37"/>
    <s v="Store"/>
    <n v="23.919999999999998"/>
    <n v="1067.8999999999999"/>
  </r>
  <r>
    <x v="6"/>
    <n v="36"/>
    <d v="2023-09-08T00:00:00"/>
    <d v="2023-06-08T00:00:00"/>
    <s v="Thursday"/>
    <s v="100 East 10th Street"/>
    <n v="160.80000000000001"/>
    <n v="152.80000000000001"/>
    <n v="8"/>
    <n v="45"/>
    <s v="Store"/>
    <n v="19.100000000000001"/>
    <n v="1220.6999999999998"/>
  </r>
  <r>
    <x v="7"/>
    <n v="37"/>
    <d v="2023-09-12T00:00:00"/>
    <d v="2023-06-12T00:00:00"/>
    <s v="Monday"/>
    <s v="100 East 10th Street"/>
    <n v="141.5"/>
    <n v="133.5"/>
    <n v="4"/>
    <n v="49"/>
    <s v="Store"/>
    <n v="33.375"/>
    <n v="1354.1999999999998"/>
  </r>
  <r>
    <x v="7"/>
    <n v="37"/>
    <d v="2023-09-15T00:00:00"/>
    <d v="2023-06-15T00:00:00"/>
    <s v="Thursday"/>
    <s v="100 East 10th Street"/>
    <n v="134.5"/>
    <n v="126.5"/>
    <n v="3"/>
    <n v="52"/>
    <s v="Store"/>
    <n v="42.166666666666664"/>
    <n v="1480.6999999999998"/>
  </r>
  <r>
    <x v="8"/>
    <n v="38"/>
    <d v="2023-09-20T00:00:00"/>
    <d v="2023-06-20T00:00:00"/>
    <s v="Tuesday"/>
    <s v="100 East 10th Street"/>
    <n v="153.5"/>
    <n v="145.5"/>
    <n v="5"/>
    <n v="57"/>
    <s v="Store"/>
    <n v="29.1"/>
    <n v="1626.1999999999998"/>
  </r>
  <r>
    <x v="9"/>
    <n v="39"/>
    <d v="2023-09-26T00:00:00"/>
    <d v="2023-06-26T00:00:00"/>
    <s v="Monday"/>
    <s v="100 East 10th Street"/>
    <n v="148"/>
    <n v="140"/>
    <n v="6"/>
    <n v="63"/>
    <s v="Store"/>
    <n v="23.333333333333332"/>
    <n v="1766.1999999999998"/>
  </r>
  <r>
    <x v="10"/>
    <n v="40"/>
    <d v="2023-10-02T00:00:00"/>
    <d v="2023-07-02T00:00:00"/>
    <s v="Sunday"/>
    <s v="100 East 10th Street"/>
    <n v="151"/>
    <n v="143"/>
    <n v="6"/>
    <n v="69"/>
    <s v="Store"/>
    <n v="23.833333333333332"/>
    <n v="1909.1999999999998"/>
  </r>
  <r>
    <x v="10"/>
    <n v="40"/>
    <d v="2023-10-06T00:00:00"/>
    <d v="2023-07-06T00:00:00"/>
    <s v="Thursday"/>
    <s v="100 East 10th Street"/>
    <n v="177"/>
    <n v="169"/>
    <n v="4"/>
    <n v="73"/>
    <s v="Store"/>
    <n v="42.25"/>
    <n v="2078.1999999999998"/>
  </r>
  <r>
    <x v="11"/>
    <n v="41"/>
    <d v="2023-10-13T00:00:00"/>
    <d v="2023-07-13T00:00:00"/>
    <s v="Thursday"/>
    <s v="100 East 10th Street"/>
    <n v="154"/>
    <n v="146"/>
    <n v="7"/>
    <n v="80"/>
    <s v="Store"/>
    <n v="20.857142857142858"/>
    <n v="2224.1999999999998"/>
  </r>
  <r>
    <x v="12"/>
    <n v="42"/>
    <d v="2023-10-16T00:00:00"/>
    <d v="2023-07-16T00:00:00"/>
    <s v="Sunday"/>
    <s v="100 East 10th Street"/>
    <n v="146.5"/>
    <n v="138.5"/>
    <n v="3"/>
    <n v="83"/>
    <s v="Store"/>
    <n v="46.166666666666664"/>
    <n v="2362.6999999999998"/>
  </r>
  <r>
    <x v="12"/>
    <n v="42"/>
    <d v="2023-10-20T00:00:00"/>
    <d v="2023-07-20T00:00:00"/>
    <s v="Thursday"/>
    <s v="100 East 10th Street"/>
    <n v="141"/>
    <n v="133"/>
    <n v="4"/>
    <n v="87"/>
    <s v="Store"/>
    <n v="33.25"/>
    <n v="2495.6999999999998"/>
  </r>
  <r>
    <x v="13"/>
    <n v="43"/>
    <d v="2023-10-24T00:00:00"/>
    <d v="2023-07-24T00:00:00"/>
    <s v="Monday"/>
    <s v="100 East 10th Street"/>
    <n v="149.5"/>
    <n v="141.5"/>
    <n v="4"/>
    <n v="91"/>
    <s v="Store"/>
    <n v="35.375"/>
    <n v="2637.2"/>
  </r>
  <r>
    <x v="13"/>
    <n v="43"/>
    <d v="2023-10-27T00:00:00"/>
    <d v="2023-07-27T00:00:00"/>
    <s v="Thursday"/>
    <s v="100 East 10th Street"/>
    <n v="140"/>
    <n v="132"/>
    <n v="3"/>
    <n v="94"/>
    <s v="Store"/>
    <n v="44"/>
    <n v="2769.2"/>
  </r>
  <r>
    <x v="14"/>
    <n v="44"/>
    <d v="2023-11-01T00:00:00"/>
    <d v="2023-08-01T00:00:00"/>
    <s v="Tuesday"/>
    <s v="100 East 10th Street"/>
    <n v="183.5"/>
    <n v="175.5"/>
    <n v="5"/>
    <n v="99"/>
    <s v="Store"/>
    <n v="35.1"/>
    <n v="2944.7"/>
  </r>
  <r>
    <x v="14"/>
    <n v="44"/>
    <d v="2023-11-03T00:00:00"/>
    <d v="2023-08-03T00:00:00"/>
    <s v="Thursday"/>
    <s v="100 East 10th Street"/>
    <n v="175"/>
    <n v="167"/>
    <n v="2"/>
    <n v="101"/>
    <s v="Store"/>
    <n v="83.5"/>
    <n v="3111.7"/>
  </r>
  <r>
    <x v="15"/>
    <n v="45"/>
    <d v="2023-11-08T00:00:00"/>
    <d v="2023-08-08T00:00:00"/>
    <s v="Tuesday"/>
    <s v="100 East 10th Street"/>
    <n v="151"/>
    <n v="143"/>
    <n v="5"/>
    <n v="106"/>
    <s v="Scheduled"/>
    <n v="28.6"/>
    <n v="3254.7"/>
  </r>
  <r>
    <x v="15"/>
    <n v="45"/>
    <d v="2023-11-11T00:00:00"/>
    <d v="2023-08-11T00:00:00"/>
    <s v="Friday"/>
    <s v="100 East 10th Street"/>
    <n v="130.5"/>
    <n v="122.5"/>
    <n v="3"/>
    <n v="109"/>
    <s v="Scheduled"/>
    <n v="40.833333333333336"/>
    <n v="3377.2"/>
  </r>
  <r>
    <x v="16"/>
    <n v="46"/>
    <d v="2023-11-15T00:00:00"/>
    <d v="2023-08-15T00:00:00"/>
    <s v="Tuesday"/>
    <s v="100 East 10th Street"/>
    <n v="148.5"/>
    <n v="140.5"/>
    <n v="4"/>
    <n v="113"/>
    <s v="Store"/>
    <n v="35.125"/>
    <n v="3517.7"/>
  </r>
  <r>
    <x v="16"/>
    <n v="47"/>
    <d v="2023-11-19T00:00:00"/>
    <d v="2023-08-19T00:00:00"/>
    <s v="Saturday"/>
    <s v="100 East 10th Street"/>
    <n v="162.5"/>
    <n v="154.5"/>
    <n v="4"/>
    <n v="117"/>
    <s v="Scheduled"/>
    <n v="38.625"/>
    <n v="3672.2"/>
  </r>
  <r>
    <x v="17"/>
    <n v="47"/>
    <d v="2023-11-21T00:00:00"/>
    <d v="2023-08-21T00:00:00"/>
    <s v="Monday"/>
    <s v="100 East 10th Street"/>
    <n v="124"/>
    <n v="116"/>
    <n v="2"/>
    <n v="119"/>
    <s v="Scheduled"/>
    <n v="58"/>
    <n v="3788.2"/>
  </r>
  <r>
    <x v="17"/>
    <n v="47"/>
    <d v="2023-11-24T00:00:00"/>
    <d v="2023-08-24T00:00:00"/>
    <s v="Thursday"/>
    <s v="100 East 10th Street"/>
    <n v="150"/>
    <n v="142"/>
    <n v="3"/>
    <n v="122"/>
    <s v="Store"/>
    <n v="47.333333333333336"/>
    <n v="3930.2"/>
  </r>
  <r>
    <x v="17"/>
    <n v="48"/>
    <d v="2023-11-26T00:00:00"/>
    <d v="2023-08-26T00:00:00"/>
    <s v="Saturday"/>
    <s v="100 East 10th Street"/>
    <n v="180"/>
    <n v="172"/>
    <n v="2"/>
    <n v="124"/>
    <s v="Store"/>
    <n v="86"/>
    <n v="4102.2"/>
  </r>
  <r>
    <x v="18"/>
    <n v="48"/>
    <d v="2023-11-28T00:00:00"/>
    <d v="2023-08-28T00:00:00"/>
    <s v="Monday"/>
    <s v="100 East 10th Street"/>
    <n v="75"/>
    <n v="67"/>
    <n v="2"/>
    <n v="126"/>
    <s v="Scheduled"/>
    <n v="33.5"/>
    <n v="4169.2"/>
  </r>
  <r>
    <x v="18"/>
    <n v="48"/>
    <d v="2023-12-01T00:00:00"/>
    <d v="2023-08-31T00:00:00"/>
    <s v="Thursday"/>
    <s v="100 East 10th Street"/>
    <n v="190"/>
    <n v="182"/>
    <n v="3"/>
    <n v="129"/>
    <s v="Store"/>
    <n v="60.666666666666664"/>
    <n v="4351.2"/>
  </r>
  <r>
    <x v="19"/>
    <n v="49"/>
    <d v="2023-12-04T00:00:00"/>
    <d v="2023-09-03T00:00:00"/>
    <s v="Sunday"/>
    <s v="100 East 10th Street"/>
    <n v="170"/>
    <n v="162"/>
    <n v="3"/>
    <n v="132"/>
    <s v="Store"/>
    <n v="54"/>
    <n v="4513.2"/>
  </r>
  <r>
    <x v="19"/>
    <n v="49"/>
    <d v="2023-12-06T00:00:00"/>
    <d v="2023-09-05T00:00:00"/>
    <s v="Tuesday"/>
    <s v="100 East 10th Street"/>
    <n v="105.5"/>
    <n v="97.5"/>
    <n v="2"/>
    <n v="134"/>
    <s v="Scheduled"/>
    <n v="48.75"/>
    <n v="4610.7"/>
  </r>
  <r>
    <x v="19"/>
    <n v="49"/>
    <d v="2023-12-08T00:00:00"/>
    <d v="2023-09-07T00:00:00"/>
    <s v="Thursday"/>
    <s v="100 East 10th Street"/>
    <n v="113.5"/>
    <n v="105.5"/>
    <n v="2"/>
    <n v="136"/>
    <s v="Scheduled"/>
    <n v="52.75"/>
    <n v="4716.2"/>
  </r>
  <r>
    <x v="19"/>
    <n v="50"/>
    <d v="2023-12-10T00:00:00"/>
    <d v="2023-09-09T00:00:00"/>
    <s v="Saturday"/>
    <s v="100 East 10th Street"/>
    <n v="170.5"/>
    <n v="162.5"/>
    <n v="2"/>
    <n v="138"/>
    <s v="Scheduled"/>
    <n v="81.25"/>
    <n v="4878.7"/>
  </r>
  <r>
    <x v="20"/>
    <n v="50"/>
    <d v="2023-12-12T00:00:00"/>
    <d v="2023-09-11T00:00:00"/>
    <s v="Monday"/>
    <s v="100 East 10th Street"/>
    <n v="163"/>
    <n v="155"/>
    <n v="2"/>
    <n v="140"/>
    <s v="Scheduled"/>
    <n v="77.5"/>
    <n v="5033.7"/>
  </r>
  <r>
    <x v="20"/>
    <n v="50"/>
    <d v="2023-12-14T00:00:00"/>
    <d v="2023-09-13T00:00:00"/>
    <s v="Wednesday"/>
    <s v="100 East 10th Street"/>
    <n v="145.5"/>
    <n v="137.5"/>
    <n v="2"/>
    <n v="142"/>
    <s v="Scheduled"/>
    <n v="68.75"/>
    <n v="5171.2"/>
  </r>
  <r>
    <x v="20"/>
    <n v="50"/>
    <d v="2023-12-16T00:00:00"/>
    <d v="2023-09-15T00:00:00"/>
    <s v="Friday"/>
    <s v="100 East 10th Street"/>
    <n v="109.5"/>
    <n v="101.5"/>
    <n v="2"/>
    <n v="144"/>
    <s v="Scheduled"/>
    <n v="50.75"/>
    <n v="5272.7"/>
  </r>
  <r>
    <x v="21"/>
    <n v="51"/>
    <d v="2023-12-19T00:00:00"/>
    <d v="2023-09-18T00:00:00"/>
    <s v="Monday"/>
    <s v="100 East 10th Street"/>
    <n v="143"/>
    <n v="135"/>
    <n v="3"/>
    <n v="147"/>
    <s v="Scheduled"/>
    <n v="45"/>
    <n v="5407.7"/>
  </r>
  <r>
    <x v="21"/>
    <n v="51"/>
    <d v="2023-12-21T00:00:00"/>
    <d v="2023-09-20T00:00:00"/>
    <s v="Wednesday"/>
    <s v="100 East 10th Street"/>
    <n v="143"/>
    <n v="135"/>
    <n v="2"/>
    <n v="149"/>
    <s v="Scheduled"/>
    <n v="67.5"/>
    <n v="5542.7"/>
  </r>
  <r>
    <x v="21"/>
    <n v="51"/>
    <d v="2023-12-23T00:00:00"/>
    <d v="2023-09-22T00:00:00"/>
    <s v="Friday"/>
    <s v="100 East 10th Street"/>
    <n v="166"/>
    <n v="158"/>
    <n v="2"/>
    <n v="151"/>
    <s v="Scheduled"/>
    <n v="79"/>
    <n v="5700.7"/>
  </r>
  <r>
    <x v="22"/>
    <n v="52"/>
    <d v="2023-12-25T00:00:00"/>
    <d v="2023-09-24T00:00:00"/>
    <s v="Sunday"/>
    <s v="100 East 10th Street"/>
    <n v="206"/>
    <n v="198"/>
    <n v="2"/>
    <n v="153"/>
    <s v="Store"/>
    <n v="99"/>
    <n v="5898.7"/>
  </r>
  <r>
    <x v="22"/>
    <n v="52"/>
    <d v="2023-12-27T00:00:00"/>
    <d v="2023-09-26T00:00:00"/>
    <s v="Tuesday"/>
    <s v="100 East 10th Street"/>
    <n v="90.5"/>
    <n v="82.5"/>
    <n v="2"/>
    <n v="155"/>
    <s v="Scheduled"/>
    <n v="41.25"/>
    <n v="5981.2"/>
  </r>
  <r>
    <x v="22"/>
    <n v="52"/>
    <d v="2023-12-29T00:00:00"/>
    <d v="2023-09-28T00:00:00"/>
    <s v="Thursday"/>
    <s v="100 East 10th Street"/>
    <n v="200"/>
    <n v="192"/>
    <n v="2"/>
    <n v="157"/>
    <s v="Store"/>
    <n v="96"/>
    <n v="6173.2"/>
  </r>
  <r>
    <x v="22"/>
    <m/>
    <m/>
    <d v="2023-09-30T00:00:00"/>
    <s v="Saturday"/>
    <s v="100 East 10th Street"/>
    <n v="195"/>
    <n v="187"/>
    <n v="2"/>
    <n v="159"/>
    <s v="Scheduled"/>
    <n v="93.5"/>
    <n v="6360.2"/>
  </r>
  <r>
    <x v="23"/>
    <m/>
    <m/>
    <d v="2023-10-02T00:00:00"/>
    <s v="Monday"/>
    <s v="100 East 10th Street"/>
    <n v="81.5"/>
    <n v="73.5"/>
    <n v="2"/>
    <n v="161"/>
    <s v="Scheduled"/>
    <n v="36.75"/>
    <n v="6433.7"/>
  </r>
  <r>
    <x v="23"/>
    <m/>
    <m/>
    <d v="2023-10-04T00:00:00"/>
    <s v="Wednesday"/>
    <s v="100 East 10th Street"/>
    <n v="127"/>
    <n v="119"/>
    <n v="2"/>
    <n v="163"/>
    <s v="Scheduled"/>
    <n v="59.5"/>
    <n v="6552.7"/>
  </r>
  <r>
    <x v="23"/>
    <m/>
    <m/>
    <d v="2023-10-06T00:00:00"/>
    <s v="Friday"/>
    <s v="100 East 10th Street"/>
    <n v="190"/>
    <n v="182"/>
    <n v="2"/>
    <n v="165"/>
    <s v="Scheduled"/>
    <n v="91"/>
    <n v="6734.7"/>
  </r>
  <r>
    <x v="24"/>
    <m/>
    <m/>
    <d v="2023-10-09T00:00:00"/>
    <s v="Monday"/>
    <s v="100 East 10th Street"/>
    <n v="120"/>
    <n v="112"/>
    <n v="3"/>
    <n v="168"/>
    <s v="Scheduled"/>
    <n v="37.333333333333336"/>
    <n v="6846.7"/>
  </r>
  <r>
    <x v="24"/>
    <m/>
    <m/>
    <d v="2023-10-11T00:00:00"/>
    <s v="Wednesday"/>
    <s v="100 East 10th Street"/>
    <n v="146.5"/>
    <n v="138.5"/>
    <n v="2"/>
    <n v="170"/>
    <s v="Scheduled"/>
    <n v="69.25"/>
    <n v="6985.2"/>
  </r>
  <r>
    <x v="24"/>
    <m/>
    <m/>
    <d v="2023-10-13T00:00:00"/>
    <s v="Friday"/>
    <s v="100 East 10th Street"/>
    <n v="155.5"/>
    <n v="147.5"/>
    <n v="2"/>
    <n v="172"/>
    <s v="Scheduled"/>
    <n v="73.75"/>
    <n v="7132.7"/>
  </r>
  <r>
    <x v="25"/>
    <m/>
    <m/>
    <d v="2023-10-15T00:00:00"/>
    <s v="Sunday"/>
    <s v="100 East 10th Street"/>
    <n v="175"/>
    <n v="167"/>
    <n v="2"/>
    <n v="174"/>
    <s v="Scheduled"/>
    <n v="83.5"/>
    <n v="7299.7"/>
  </r>
  <r>
    <x v="25"/>
    <m/>
    <m/>
    <d v="2023-10-17T00:00:00"/>
    <s v="Tuesday"/>
    <s v="100 East 10th Street"/>
    <n v="66"/>
    <n v="58"/>
    <n v="2"/>
    <n v="176"/>
    <s v="Scheduled"/>
    <n v="29"/>
    <n v="7357.7"/>
  </r>
  <r>
    <x v="25"/>
    <m/>
    <m/>
    <d v="2023-10-19T00:00:00"/>
    <s v="Thursday"/>
    <s v="100 East 10th Street"/>
    <n v="104"/>
    <n v="96"/>
    <n v="2"/>
    <n v="178"/>
    <s v="Scheduled"/>
    <n v="48"/>
    <n v="7453.7"/>
  </r>
  <r>
    <x v="25"/>
    <m/>
    <m/>
    <d v="2023-10-21T00:00:00"/>
    <s v="Saturday"/>
    <s v="100 East 10th Street"/>
    <n v="203"/>
    <n v="195"/>
    <n v="2"/>
    <n v="180"/>
    <s v="Store"/>
    <n v="97.5"/>
    <n v="7648.7"/>
  </r>
  <r>
    <x v="26"/>
    <m/>
    <m/>
    <d v="2023-10-24T00:00:00"/>
    <s v="Tuesday"/>
    <s v="100 East 10th Street"/>
    <n v="215.5"/>
    <n v="207.5"/>
    <n v="3"/>
    <n v="183"/>
    <s v="Scheduled"/>
    <n v="69.166666666666671"/>
    <n v="7856.2"/>
  </r>
  <r>
    <x v="26"/>
    <m/>
    <m/>
    <d v="2023-10-26T00:00:00"/>
    <s v="Thursday"/>
    <s v="100 East 10th Street"/>
    <n v="98"/>
    <n v="90"/>
    <n v="2"/>
    <n v="185"/>
    <s v="Scheduled"/>
    <n v="45"/>
    <n v="7946.2"/>
  </r>
  <r>
    <x v="27"/>
    <m/>
    <m/>
    <d v="2023-10-29T00:00:00"/>
    <s v="Sunday"/>
    <s v="100 East 10th Street"/>
    <n v="108"/>
    <n v="100"/>
    <n v="3"/>
    <n v="188"/>
    <s v="Scheduled"/>
    <n v="33.333333333333336"/>
    <n v="8046.2"/>
  </r>
  <r>
    <x v="27"/>
    <m/>
    <m/>
    <d v="2023-10-30T00:00:00"/>
    <s v="Monday"/>
    <s v="100 East 10th Street"/>
    <n v="194"/>
    <n v="186"/>
    <n v="1"/>
    <n v="189"/>
    <s v="Scheduled"/>
    <n v="186"/>
    <n v="8232.2000000000007"/>
  </r>
  <r>
    <x v="27"/>
    <m/>
    <m/>
    <d v="2023-11-01T00:00:00"/>
    <s v="Wednesday"/>
    <s v="100 East 10th Street"/>
    <n v="153.5"/>
    <n v="145.5"/>
    <n v="2"/>
    <n v="191"/>
    <s v="Scheduled"/>
    <n v="72.75"/>
    <n v="8377.7000000000007"/>
  </r>
  <r>
    <x v="27"/>
    <m/>
    <m/>
    <d v="2023-11-03T00:00:00"/>
    <s v="Friday"/>
    <s v="100 East 10th Street"/>
    <n v="181"/>
    <n v="173"/>
    <n v="2"/>
    <n v="193"/>
    <s v="Scheduled"/>
    <n v="86.5"/>
    <n v="8550.7000000000007"/>
  </r>
  <r>
    <x v="28"/>
    <m/>
    <m/>
    <d v="2023-11-06T00:00:00"/>
    <s v="Monday"/>
    <s v="100 East 10th Street"/>
    <n v="171"/>
    <n v="163"/>
    <n v="3"/>
    <n v="196"/>
    <s v="Scheduled"/>
    <n v="54.333333333333336"/>
    <n v="8713.7000000000007"/>
  </r>
  <r>
    <x v="28"/>
    <m/>
    <m/>
    <d v="2023-11-08T00:00:00"/>
    <s v="Wednesday"/>
    <s v="100 East 10th Street"/>
    <n v="141.5"/>
    <n v="133.5"/>
    <n v="2"/>
    <n v="198"/>
    <s v="Scheduled"/>
    <n v="66.75"/>
    <n v="8847.2000000000007"/>
  </r>
  <r>
    <x v="28"/>
    <m/>
    <m/>
    <d v="2023-11-10T00:00:00"/>
    <s v="Friday"/>
    <s v="100 East 10th Street"/>
    <n v="152"/>
    <n v="144"/>
    <n v="2"/>
    <n v="200"/>
    <s v="Scheduled"/>
    <n v="72"/>
    <n v="8991.2000000000007"/>
  </r>
  <r>
    <x v="29"/>
    <m/>
    <m/>
    <d v="2023-11-12T00:00:00"/>
    <s v="Sunday"/>
    <s v="100 East 10th Street"/>
    <n v="75"/>
    <n v="67"/>
    <n v="2"/>
    <n v="202"/>
    <s v="Scheduled"/>
    <n v="33.5"/>
    <n v="9058.2000000000007"/>
  </r>
  <r>
    <x v="30"/>
    <m/>
    <m/>
    <d v="2023-11-20T00:00:00"/>
    <s v="Monday"/>
    <s v="100 East 10th Street"/>
    <n v="578"/>
    <n v="570"/>
    <n v="8"/>
    <n v="210"/>
    <s v="Scheduled"/>
    <n v="71.25"/>
    <n v="9628.2000000000007"/>
  </r>
  <r>
    <x v="30"/>
    <m/>
    <m/>
    <d v="2023-11-22T00:00:00"/>
    <s v="Wednesday"/>
    <s v="100 East 10th Street"/>
    <n v="160"/>
    <n v="152"/>
    <n v="2"/>
    <n v="212"/>
    <s v="Scheduled"/>
    <n v="76"/>
    <n v="9780.2000000000007"/>
  </r>
  <r>
    <x v="31"/>
    <m/>
    <m/>
    <d v="2023-11-26T00:00:00"/>
    <s v="Sunday"/>
    <s v="100 East 10th Street"/>
    <n v="157"/>
    <n v="149"/>
    <n v="4"/>
    <n v="216"/>
    <s v="Scheduled"/>
    <n v="37.25"/>
    <n v="9929.2000000000007"/>
  </r>
  <r>
    <x v="31"/>
    <m/>
    <m/>
    <d v="2023-11-28T00:00:00"/>
    <s v="Tuesday"/>
    <s v="100 East 10th Street"/>
    <n v="107.5"/>
    <n v="99.5"/>
    <n v="2"/>
    <n v="218"/>
    <s v="Scheduled"/>
    <n v="49.75"/>
    <n v="10028.700000000001"/>
  </r>
  <r>
    <x v="31"/>
    <m/>
    <m/>
    <d v="2023-11-30T00:00:00"/>
    <s v="Thursday"/>
    <s v="100 East 10th Street"/>
    <n v="149"/>
    <n v="141"/>
    <n v="2"/>
    <n v="220"/>
    <s v="Scheduled"/>
    <n v="70.5"/>
    <n v="10169.700000000001"/>
  </r>
  <r>
    <x v="31"/>
    <m/>
    <m/>
    <d v="2023-12-02T00:00:00"/>
    <s v="Saturday"/>
    <s v="100 East 10th Street"/>
    <n v="142.5"/>
    <n v="134.5"/>
    <n v="2"/>
    <n v="222"/>
    <s v="Scheduled"/>
    <n v="67.25"/>
    <n v="10304.200000000001"/>
  </r>
  <r>
    <x v="32"/>
    <m/>
    <m/>
    <d v="2023-12-04T00:00:00"/>
    <s v="Monday"/>
    <s v="100 East 10th Street"/>
    <n v="119.5"/>
    <n v="111.5"/>
    <n v="2"/>
    <n v="224"/>
    <s v="Scheduled"/>
    <n v="55.75"/>
    <n v="10415.700000000001"/>
  </r>
  <r>
    <x v="32"/>
    <m/>
    <m/>
    <d v="2023-12-06T00:00:00"/>
    <s v="Wednesday"/>
    <s v="100 East 10th Street"/>
    <n v="106"/>
    <n v="98"/>
    <n v="2"/>
    <n v="226"/>
    <s v="Scheduled"/>
    <n v="49"/>
    <n v="10513.7"/>
  </r>
  <r>
    <x v="32"/>
    <m/>
    <m/>
    <d v="2023-12-08T00:00:00"/>
    <s v="Friday"/>
    <s v="100 East 10th Street"/>
    <n v="168"/>
    <n v="160"/>
    <n v="2"/>
    <n v="228"/>
    <s v="Scheduled"/>
    <n v="80"/>
    <n v="10673.7"/>
  </r>
  <r>
    <x v="33"/>
    <m/>
    <m/>
    <d v="2023-12-12T00:00:00"/>
    <s v="Tuesday"/>
    <s v="100 East 10th Street"/>
    <n v="259.5"/>
    <n v="251.5"/>
    <n v="4"/>
    <n v="232"/>
    <s v="Scheduled"/>
    <n v="62.875"/>
    <n v="10925.2"/>
  </r>
  <r>
    <x v="33"/>
    <m/>
    <m/>
    <d v="2023-12-16T00:00:00"/>
    <s v="Saturday"/>
    <s v="100 East 10th Street"/>
    <n v="303.5"/>
    <n v="295.5"/>
    <n v="4"/>
    <n v="236"/>
    <s v="Scheduled"/>
    <n v="73.875"/>
    <n v="11220.7"/>
  </r>
  <r>
    <x v="34"/>
    <m/>
    <m/>
    <d v="2023-12-19T00:00:00"/>
    <s v="Tuesday"/>
    <s v="100 East 10th Street"/>
    <n v="179"/>
    <n v="171"/>
    <n v="3"/>
    <n v="239"/>
    <s v="Scheduled"/>
    <n v="57"/>
    <n v="11391.7"/>
  </r>
  <r>
    <x v="34"/>
    <m/>
    <m/>
    <d v="2023-12-23T00:00:00"/>
    <s v="Saturday"/>
    <s v="100 East 10th Street"/>
    <n v="181.5"/>
    <n v="173.5"/>
    <n v="4"/>
    <n v="243"/>
    <s v="Store"/>
    <n v="43.375"/>
    <n v="11565.2"/>
  </r>
  <r>
    <x v="35"/>
    <m/>
    <m/>
    <d v="2023-12-29T00:00:00"/>
    <s v="Friday"/>
    <s v="100 East 10th Street"/>
    <n v="189"/>
    <n v="181"/>
    <n v="6"/>
    <n v="249"/>
    <s v="Store"/>
    <n v="30.166666666666668"/>
    <n v="11746.2"/>
  </r>
  <r>
    <x v="36"/>
    <m/>
    <m/>
    <d v="2024-01-02T00:00:00"/>
    <s v="Tuesday"/>
    <s v="100 East 10th Street"/>
    <n v="151"/>
    <n v="143"/>
    <n v="4"/>
    <n v="253"/>
    <s v="Store"/>
    <n v="35.75"/>
    <n v="11889.2"/>
  </r>
  <r>
    <x v="37"/>
    <m/>
    <m/>
    <d v="2024-01-10T00:00:00"/>
    <s v="Wednesday"/>
    <s v="100 East 10th Street"/>
    <n v="382"/>
    <n v="374"/>
    <n v="8"/>
    <n v="261"/>
    <s v="Store"/>
    <n v="46.75"/>
    <n v="12263.2"/>
  </r>
  <r>
    <x v="37"/>
    <m/>
    <m/>
    <d v="2024-01-12T00:00:00"/>
    <s v="Friday"/>
    <s v="100 East 10th Street"/>
    <n v="171.9"/>
    <n v="163.9"/>
    <n v="2"/>
    <n v="263"/>
    <s v="Scheduled"/>
    <n v="81.95"/>
    <n v="12427.1"/>
  </r>
  <r>
    <x v="38"/>
    <m/>
    <m/>
    <d v="2024-01-14T00:00:00"/>
    <s v="Sunday"/>
    <s v="100 East 10th Street"/>
    <n v="120"/>
    <n v="112"/>
    <n v="2"/>
    <n v="265"/>
    <s v="Scheduled"/>
    <n v="56"/>
    <n v="12539.1"/>
  </r>
  <r>
    <x v="38"/>
    <m/>
    <m/>
    <d v="2024-01-17T00:00:00"/>
    <s v="Wednesday"/>
    <s v="100 East 10th Street"/>
    <n v="172"/>
    <n v="164"/>
    <n v="3"/>
    <n v="268"/>
    <s v="Scheduled"/>
    <n v="54.666666666666664"/>
    <n v="12703.1"/>
  </r>
  <r>
    <x v="39"/>
    <m/>
    <m/>
    <d v="2024-01-21T00:00:00"/>
    <s v="Sunday"/>
    <s v="100 East 10th Street"/>
    <n v="212"/>
    <n v="204"/>
    <n v="4"/>
    <n v="272"/>
    <s v="Scheduled"/>
    <n v="51"/>
    <n v="12907.1"/>
  </r>
  <r>
    <x v="39"/>
    <m/>
    <m/>
    <d v="2024-01-23T00:00:00"/>
    <s v="Tuesday"/>
    <s v="100 East 10th Street"/>
    <n v="175"/>
    <n v="167"/>
    <n v="2"/>
    <n v="274"/>
    <s v="Scheduled"/>
    <n v="83.5"/>
    <n v="13074.1"/>
  </r>
  <r>
    <x v="39"/>
    <m/>
    <m/>
    <d v="2024-01-26T00:00:00"/>
    <s v="Friday"/>
    <s v="100 East 10th Street"/>
    <n v="180"/>
    <n v="172"/>
    <n v="3"/>
    <n v="277"/>
    <s v="Scheduled"/>
    <n v="57.333333333333336"/>
    <n v="13246.1"/>
  </r>
  <r>
    <x v="40"/>
    <m/>
    <m/>
    <d v="2024-01-28T00:00:00"/>
    <s v="Sunday"/>
    <s v="100 East 10th Street"/>
    <n v="151.5"/>
    <n v="143.5"/>
    <n v="2"/>
    <n v="279"/>
    <s v="Scheduled"/>
    <n v="71.75"/>
    <n v="13389.6"/>
  </r>
  <r>
    <x v="40"/>
    <m/>
    <m/>
    <d v="2024-01-30T00:00:00"/>
    <s v="Tuesday"/>
    <s v="100 East 10th Street"/>
    <n v="155"/>
    <n v="147"/>
    <n v="2"/>
    <n v="281"/>
    <s v="Scheduled"/>
    <n v="73.5"/>
    <n v="13536.6"/>
  </r>
  <r>
    <x v="40"/>
    <m/>
    <m/>
    <d v="2024-02-01T00:00:00"/>
    <s v="Thursday"/>
    <s v="100 East 10th Street"/>
    <n v="153"/>
    <n v="145"/>
    <n v="2"/>
    <n v="283"/>
    <s v="Scheduled"/>
    <n v="72.5"/>
    <n v="13681.6"/>
  </r>
  <r>
    <x v="40"/>
    <m/>
    <m/>
    <d v="2024-02-03T00:00:00"/>
    <s v="Saturday"/>
    <s v="100 East 10th Street"/>
    <n v="144.5"/>
    <n v="136.5"/>
    <n v="2"/>
    <n v="285"/>
    <s v="Scheduled"/>
    <n v="68.25"/>
    <n v="13818.1"/>
  </r>
  <r>
    <x v="41"/>
    <m/>
    <m/>
    <d v="2024-02-05T00:00:00"/>
    <s v="Monday"/>
    <s v="100 East 10th Street"/>
    <n v="103.5"/>
    <n v="95.5"/>
    <n v="2"/>
    <n v="287"/>
    <s v="Scheduled"/>
    <n v="47.75"/>
    <n v="13913.6"/>
  </r>
  <r>
    <x v="41"/>
    <m/>
    <m/>
    <d v="2024-02-07T00:00:00"/>
    <s v="Wednesday"/>
    <s v="100 East 10th Street"/>
    <n v="160"/>
    <n v="152"/>
    <n v="2"/>
    <n v="289"/>
    <s v="Scheduled"/>
    <n v="76"/>
    <n v="14065.6"/>
  </r>
  <r>
    <x v="41"/>
    <m/>
    <m/>
    <d v="2024-02-09T00:00:00"/>
    <s v="Friday"/>
    <s v="100 East 10th Street"/>
    <n v="164"/>
    <n v="156"/>
    <n v="2"/>
    <n v="291"/>
    <s v="Scheduled"/>
    <n v="78"/>
    <n v="14221.6"/>
  </r>
  <r>
    <x v="42"/>
    <m/>
    <m/>
    <d v="2024-02-12T00:00:00"/>
    <s v="Monday"/>
    <s v="100 East 10th Street"/>
    <n v="155"/>
    <n v="147"/>
    <n v="3"/>
    <n v="294"/>
    <s v="Scheduled"/>
    <n v="49"/>
    <n v="14368.6"/>
  </r>
  <r>
    <x v="42"/>
    <m/>
    <m/>
    <d v="2024-02-14T00:00:00"/>
    <s v="Wednesday"/>
    <s v="100 East 10th Street"/>
    <n v="156"/>
    <n v="148"/>
    <n v="2"/>
    <n v="296"/>
    <s v="Scheduled"/>
    <n v="74"/>
    <n v="14516.6"/>
  </r>
  <r>
    <x v="42"/>
    <m/>
    <m/>
    <d v="2024-02-16T00:00:00"/>
    <s v="Friday"/>
    <s v="100 East 10th Street"/>
    <n v="165"/>
    <n v="157"/>
    <n v="2"/>
    <n v="298"/>
    <s v="Scheduled"/>
    <n v="78.5"/>
    <n v="14673.6"/>
  </r>
  <r>
    <x v="43"/>
    <m/>
    <m/>
    <d v="2024-02-18T00:00:00"/>
    <s v="Sunday"/>
    <s v="100 East 10th Street"/>
    <n v="145"/>
    <n v="137"/>
    <n v="2"/>
    <n v="300"/>
    <s v="Scheduled"/>
    <n v="68.5"/>
    <n v="14810.6"/>
  </r>
  <r>
    <x v="43"/>
    <m/>
    <m/>
    <d v="2024-02-20T00:00:00"/>
    <s v="Tuesday"/>
    <s v="100 East 10th Street"/>
    <n v="180"/>
    <n v="172"/>
    <n v="2"/>
    <n v="302"/>
    <s v="Scheduled"/>
    <n v="86"/>
    <n v="14982.6"/>
  </r>
  <r>
    <x v="43"/>
    <m/>
    <m/>
    <d v="2024-02-22T00:00:00"/>
    <s v="Thursday"/>
    <s v="100 East 10th Street"/>
    <n v="150"/>
    <n v="142"/>
    <n v="2"/>
    <n v="304"/>
    <s v="Scheduled"/>
    <n v="71"/>
    <n v="15124.6"/>
  </r>
  <r>
    <x v="44"/>
    <m/>
    <m/>
    <d v="2024-02-25T00:00:00"/>
    <s v="Sunday"/>
    <s v="100 East 10th Street"/>
    <n v="190"/>
    <n v="182"/>
    <n v="3"/>
    <n v="307"/>
    <s v="Scheduled"/>
    <n v="60.666666666666664"/>
    <n v="15306.6"/>
  </r>
  <r>
    <x v="44"/>
    <m/>
    <m/>
    <d v="2024-02-27T00:00:00"/>
    <s v="Tuesday"/>
    <s v="100 East 10th Street"/>
    <n v="156"/>
    <n v="148"/>
    <n v="2"/>
    <n v="309"/>
    <s v="Scheduled"/>
    <n v="74"/>
    <n v="15454.6"/>
  </r>
  <r>
    <x v="44"/>
    <m/>
    <m/>
    <d v="2024-02-29T00:00:00"/>
    <s v="Thursday"/>
    <s v="100 East 10th Street"/>
    <n v="165"/>
    <n v="157"/>
    <n v="2"/>
    <n v="311"/>
    <s v="Scheduled"/>
    <n v="78.5"/>
    <n v="15611.6"/>
  </r>
  <r>
    <x v="45"/>
    <m/>
    <m/>
    <d v="2024-03-04T00:00:00"/>
    <s v="Monday"/>
    <s v="100 East 10th Street"/>
    <n v="312"/>
    <n v="304"/>
    <n v="4"/>
    <n v="315"/>
    <s v="Scheduled"/>
    <n v="76"/>
    <n v="15915.6"/>
  </r>
  <r>
    <x v="45"/>
    <m/>
    <m/>
    <d v="2024-03-06T00:00:00"/>
    <s v="Wednesday"/>
    <s v="100 East 10th Street"/>
    <n v="156"/>
    <n v="148"/>
    <n v="2"/>
    <n v="317"/>
    <s v="Store"/>
    <n v="74"/>
    <n v="16063.6"/>
  </r>
  <r>
    <x v="46"/>
    <m/>
    <m/>
    <d v="2024-03-11T00:00:00"/>
    <s v="Monday"/>
    <s v="100 East 10th Street"/>
    <n v="312"/>
    <n v="304"/>
    <n v="5"/>
    <n v="322"/>
    <s v="Store"/>
    <n v="60.8"/>
    <n v="16367.6"/>
  </r>
  <r>
    <x v="46"/>
    <m/>
    <m/>
    <d v="2024-03-14T00:00:00"/>
    <s v="Thursday"/>
    <s v="100 East 10th Street"/>
    <n v="158"/>
    <n v="150"/>
    <n v="3"/>
    <n v="325"/>
    <s v="Store"/>
    <n v="50"/>
    <n v="16517.599999999999"/>
  </r>
  <r>
    <x v="47"/>
    <m/>
    <m/>
    <d v="2024-03-17T00:00:00"/>
    <s v="Sunday"/>
    <s v="100 East 10th Street"/>
    <n v="200"/>
    <n v="192"/>
    <n v="3"/>
    <n v="328"/>
    <s v="Store"/>
    <n v="64"/>
    <n v="16709.599999999999"/>
  </r>
  <r>
    <x v="47"/>
    <m/>
    <m/>
    <d v="2024-03-21T00:00:00"/>
    <s v="Thursday"/>
    <s v="100 East 10th Street"/>
    <n v="185"/>
    <n v="177"/>
    <n v="4"/>
    <n v="332"/>
    <s v="Store"/>
    <n v="44.25"/>
    <n v="16886.599999999999"/>
  </r>
  <r>
    <x v="48"/>
    <m/>
    <m/>
    <d v="2024-03-25T00:00:00"/>
    <s v="Monday"/>
    <s v="100 East 10th Street"/>
    <n v="175"/>
    <n v="167"/>
    <n v="4"/>
    <n v="336"/>
    <s v="Scheduled"/>
    <n v="41.75"/>
    <n v="17053.599999999999"/>
  </r>
  <r>
    <x v="48"/>
    <m/>
    <m/>
    <d v="2024-03-27T00:00:00"/>
    <s v="Wednesday"/>
    <s v="100 East 10th Street"/>
    <n v="185"/>
    <n v="177"/>
    <n v="2"/>
    <n v="338"/>
    <s v="Store"/>
    <n v="88.5"/>
    <n v="17230.599999999999"/>
  </r>
  <r>
    <x v="48"/>
    <m/>
    <m/>
    <d v="2024-03-30T00:00:00"/>
    <s v="Saturday"/>
    <s v="100 East 10th Street"/>
    <n v="165"/>
    <n v="157"/>
    <n v="3"/>
    <n v="341"/>
    <s v="Store"/>
    <n v="52.333333333333336"/>
    <n v="17387.599999999999"/>
  </r>
  <r>
    <x v="49"/>
    <m/>
    <m/>
    <d v="2024-04-01T00:00:00"/>
    <s v="Monday"/>
    <s v="100 East 10th Street"/>
    <n v="215"/>
    <n v="207"/>
    <n v="2"/>
    <n v="343"/>
    <s v="Store"/>
    <n v="103.5"/>
    <n v="17594.599999999999"/>
  </r>
  <r>
    <x v="49"/>
    <m/>
    <m/>
    <d v="2024-04-04T00:00:00"/>
    <s v="Thursday"/>
    <s v="100 East 10th Street"/>
    <n v="200"/>
    <n v="192"/>
    <n v="3"/>
    <n v="346"/>
    <s v="Store"/>
    <n v="64"/>
    <n v="17786.599999999999"/>
  </r>
  <r>
    <x v="50"/>
    <m/>
    <m/>
    <d v="2024-04-08T00:00:00"/>
    <s v="Monday"/>
    <s v="100 East 10th Street"/>
    <n v="377"/>
    <n v="369"/>
    <n v="4"/>
    <n v="350"/>
    <s v="Store"/>
    <n v="92.25"/>
    <n v="18155.599999999999"/>
  </r>
  <r>
    <x v="50"/>
    <m/>
    <m/>
    <d v="2024-04-11T00:00:00"/>
    <s v="Thursday"/>
    <s v="100 East 10th Street"/>
    <n v="172"/>
    <n v="164"/>
    <n v="3"/>
    <n v="353"/>
    <s v="Store"/>
    <n v="54.666666666666664"/>
    <n v="18319.599999999999"/>
  </r>
  <r>
    <x v="51"/>
    <m/>
    <m/>
    <d v="2024-04-14T00:00:00"/>
    <s v="Sunday"/>
    <s v="100 East 10th Street"/>
    <n v="200"/>
    <n v="192"/>
    <n v="3"/>
    <n v="356"/>
    <s v="Scheduled"/>
    <n v="64"/>
    <n v="18511.599999999999"/>
  </r>
  <r>
    <x v="51"/>
    <m/>
    <m/>
    <d v="2024-04-16T00:00:00"/>
    <s v="Tuesday"/>
    <s v="100 East 10th Street"/>
    <n v="176"/>
    <n v="168"/>
    <n v="2"/>
    <n v="358"/>
    <s v="Scheduled"/>
    <n v="84"/>
    <n v="18679.599999999999"/>
  </r>
  <r>
    <x v="51"/>
    <m/>
    <m/>
    <d v="2024-04-18T00:00:00"/>
    <s v="Thursday"/>
    <s v="100 East 10th Street"/>
    <n v="165"/>
    <n v="157"/>
    <n v="2"/>
    <n v="360"/>
    <s v="Scheduled"/>
    <n v="78.5"/>
    <n v="18836.599999999999"/>
  </r>
  <r>
    <x v="0"/>
    <m/>
    <m/>
    <d v="2024-04-21T00:00:00"/>
    <s v="Sunday"/>
    <s v="100 East 10th Street"/>
    <n v="186"/>
    <n v="178"/>
    <n v="3"/>
    <n v="363"/>
    <s v="Scheduled"/>
    <n v="59.333333333333336"/>
    <n v="19014.599999999999"/>
  </r>
  <r>
    <x v="0"/>
    <m/>
    <m/>
    <d v="2024-04-24T00:00:00"/>
    <s v="Wednesday"/>
    <s v="100 East 10th Street"/>
    <n v="196"/>
    <n v="188"/>
    <n v="3"/>
    <n v="366"/>
    <s v="Scheduled"/>
    <n v="62.666666666666664"/>
    <n v="19202.599999999999"/>
  </r>
  <r>
    <x v="1"/>
    <m/>
    <m/>
    <d v="2024-04-29T00:00:00"/>
    <s v="Monday"/>
    <s v="100 East 10th Street"/>
    <n v="379"/>
    <n v="371"/>
    <n v="5"/>
    <n v="371"/>
    <s v="Scheduled"/>
    <n v="74.2"/>
    <n v="19573.599999999999"/>
  </r>
  <r>
    <x v="2"/>
    <m/>
    <m/>
    <d v="2024-05-06T00:00:00"/>
    <s v="Monday"/>
    <s v="100 East 10th Street"/>
    <n v="317.33999999999997"/>
    <n v="309.33999999999997"/>
    <n v="7"/>
    <n v="378"/>
    <s v="Scheduled"/>
    <n v="44.191428571428567"/>
    <n v="19882.939999999999"/>
  </r>
  <r>
    <x v="3"/>
    <m/>
    <m/>
    <d v="2024-05-15T00:00:00"/>
    <s v="Wednesday"/>
    <s v="100 East 10th Street"/>
    <n v="308.53999999999996"/>
    <n v="300.53999999999996"/>
    <n v="9"/>
    <n v="387"/>
    <s v="Scheduled"/>
    <n v="33.393333333333331"/>
    <n v="20183.48"/>
  </r>
  <r>
    <x v="4"/>
    <m/>
    <m/>
    <d v="2024-05-20T00:00:00"/>
    <s v="Monday"/>
    <s v="100 East 10th Street"/>
    <n v="376.05"/>
    <n v="368.05"/>
    <n v="5"/>
    <n v="392"/>
    <s v="Scheduled"/>
    <n v="73.61"/>
    <n v="20551.53"/>
  </r>
  <r>
    <x v="4"/>
    <m/>
    <m/>
    <d v="2024-05-22T00:00:00"/>
    <s v="Wednesday"/>
    <s v="100 East 10th Street"/>
    <n v="207"/>
    <n v="199"/>
    <n v="2"/>
    <n v="394"/>
    <s v="Scheduled"/>
    <n v="99.5"/>
    <n v="20750.53"/>
  </r>
  <r>
    <x v="5"/>
    <m/>
    <m/>
    <d v="2024-05-30T00:00:00"/>
    <s v="Thursday"/>
    <s v="100 East 10th Street"/>
    <n v="373"/>
    <n v="365"/>
    <n v="8"/>
    <n v="402"/>
    <s v="Scheduled"/>
    <n v="45.625"/>
    <n v="21115.53"/>
  </r>
  <r>
    <x v="6"/>
    <m/>
    <m/>
    <d v="2024-06-02T00:00:00"/>
    <s v="Sunday"/>
    <s v="100 East 10th Street"/>
    <n v="127.52"/>
    <n v="119.52"/>
    <n v="3"/>
    <n v="405"/>
    <s v="Scheduled"/>
    <n v="39.839999999999996"/>
    <n v="21235.05"/>
  </r>
  <r>
    <x v="6"/>
    <m/>
    <m/>
    <d v="2024-06-06T00:00:00"/>
    <s v="Thursday"/>
    <s v="100 East 10th Street"/>
    <n v="447.98"/>
    <n v="439.98"/>
    <n v="4"/>
    <n v="409"/>
    <s v="Scheduled"/>
    <n v="109.995"/>
    <n v="21675.03"/>
  </r>
  <r>
    <x v="7"/>
    <m/>
    <m/>
    <d v="2024-06-12T00:00:00"/>
    <s v="Wednesday"/>
    <s v="100 East 10th Street"/>
    <n v="329.8125"/>
    <n v="321.8125"/>
    <n v="6"/>
    <n v="415"/>
    <s v="Scheduled"/>
    <n v="53.635416666666664"/>
    <n v="21996.842499999999"/>
  </r>
  <r>
    <x v="7"/>
    <m/>
    <m/>
    <d v="2024-06-15T00:00:00"/>
    <s v="Saturday"/>
    <s v="100 East 10th Street"/>
    <n v="451.8"/>
    <n v="443.8"/>
    <n v="3"/>
    <n v="418"/>
    <s v="Scheduled"/>
    <n v="147.93333333333334"/>
    <n v="22440.642499999998"/>
  </r>
  <r>
    <x v="8"/>
    <m/>
    <m/>
    <d v="2024-06-18T00:00:00"/>
    <s v="Tuesday"/>
    <s v="100 East 10th Street"/>
    <n v="161"/>
    <n v="153"/>
    <n v="3"/>
    <n v="421"/>
    <s v="Scheduled"/>
    <n v="51"/>
    <n v="22593.642499999998"/>
  </r>
  <r>
    <x v="9"/>
    <m/>
    <m/>
    <d v="2024-06-25T00:00:00"/>
    <s v="Tuesday"/>
    <s v="100 East 10th Street"/>
    <n v="152.02000000000001"/>
    <n v="144.02000000000001"/>
    <n v="7"/>
    <n v="428"/>
    <s v="Scheduled"/>
    <n v="20.574285714285715"/>
    <n v="22737.662499999999"/>
  </r>
  <r>
    <x v="10"/>
    <m/>
    <m/>
    <d v="2024-06-30T00:00:00"/>
    <s v="Sunday"/>
    <s v="100 East 10th Street"/>
    <n v="398.64"/>
    <n v="390.64"/>
    <n v="5"/>
    <n v="433"/>
    <s v="Scheduled"/>
    <n v="78.128"/>
    <n v="23128.302499999998"/>
  </r>
  <r>
    <x v="10"/>
    <m/>
    <m/>
    <d v="2024-07-05T00:00:00"/>
    <s v="Friday"/>
    <s v="100 East 10th Street"/>
    <n v="372.56"/>
    <n v="364.56"/>
    <n v="5"/>
    <n v="438"/>
    <s v="Scheduled"/>
    <n v="72.912000000000006"/>
    <n v="23492.862499999999"/>
  </r>
  <r>
    <x v="12"/>
    <m/>
    <m/>
    <d v="2024-07-17T00:00:00"/>
    <s v="Wednesday"/>
    <s v="100 East 10th Street"/>
    <n v="449.66"/>
    <n v="441.66"/>
    <n v="12"/>
    <n v="450"/>
    <s v="Scheduled"/>
    <n v="36.805"/>
    <n v="23934.522499999999"/>
  </r>
  <r>
    <x v="13"/>
    <m/>
    <m/>
    <d v="2024-07-22T00:00:00"/>
    <s v="Monday"/>
    <s v="100 East 10th Street"/>
    <n v="108.6"/>
    <n v="100.6"/>
    <n v="5"/>
    <n v="455"/>
    <s v="Scheduled"/>
    <n v="20.119999999999997"/>
    <n v="24035.122499999998"/>
  </r>
  <r>
    <x v="13"/>
    <m/>
    <m/>
    <d v="2024-07-26T00:00:00"/>
    <s v="Friday"/>
    <s v="100 East 10th Street"/>
    <n v="383.9"/>
    <n v="375.9"/>
    <n v="4"/>
    <n v="459"/>
    <s v="Scheduled"/>
    <n v="93.974999999999994"/>
    <n v="24411.022499999999"/>
  </r>
  <r>
    <x v="14"/>
    <m/>
    <m/>
    <d v="2024-07-30T00:00:00"/>
    <s v="Tuesday"/>
    <s v="100 East 10th Street"/>
    <n v="185.7"/>
    <n v="177.7"/>
    <n v="4"/>
    <n v="463"/>
    <s v="Scheduled"/>
    <n v="44.424999999999997"/>
    <n v="24588.7225"/>
  </r>
  <r>
    <x v="14"/>
    <m/>
    <m/>
    <d v="2024-08-02T00:00:00"/>
    <s v="Friday"/>
    <s v="100 East 10th Street"/>
    <n v="347.62"/>
    <n v="339.62"/>
    <n v="3"/>
    <n v="466"/>
    <s v="Scheduled"/>
    <n v="113.20666666666666"/>
    <n v="24928.342499999999"/>
  </r>
  <r>
    <x v="15"/>
    <m/>
    <m/>
    <d v="2024-08-08T00:00:00"/>
    <s v="Thursday"/>
    <s v="100 East 10th Street"/>
    <n v="340.3"/>
    <n v="332.3"/>
    <n v="6"/>
    <n v="472"/>
    <s v="Scheduled"/>
    <n v="55.383333333333333"/>
    <n v="25260.642499999998"/>
  </r>
  <r>
    <x v="16"/>
    <m/>
    <m/>
    <d v="2024-08-13T00:00:00"/>
    <s v="Tuesday"/>
    <s v="100 East 10th Street"/>
    <n v="189.44"/>
    <n v="181.44"/>
    <n v="5"/>
    <n v="477"/>
    <s v="Scheduled"/>
    <n v="36.287999999999997"/>
    <n v="25442.082499999997"/>
  </r>
  <r>
    <x v="17"/>
    <m/>
    <m/>
    <d v="2024-08-19T00:00:00"/>
    <s v="Monday"/>
    <s v="100 East 10th Street"/>
    <n v="507"/>
    <n v="499"/>
    <n v="6"/>
    <n v="483"/>
    <s v="Scheduled"/>
    <n v="83.166666666666671"/>
    <n v="25941.082499999997"/>
  </r>
  <r>
    <x v="18"/>
    <m/>
    <m/>
    <d v="2024-08-26T00:00:00"/>
    <s v="Monday"/>
    <s v="100 East 10th Street"/>
    <n v="172"/>
    <n v="164"/>
    <n v="7"/>
    <n v="490"/>
    <s v="Scheduled"/>
    <n v="23.428571428571427"/>
    <n v="26105.082499999997"/>
  </r>
  <r>
    <x v="18"/>
    <m/>
    <m/>
    <d v="2024-08-27T00:00:00"/>
    <s v="Tuesday"/>
    <s v="100 East 10th Street"/>
    <n v="153.9"/>
    <n v="145.9"/>
    <n v="1"/>
    <n v="491"/>
    <s v="Scheduled"/>
    <n v="145.9"/>
    <n v="26250.982499999998"/>
  </r>
  <r>
    <x v="18"/>
    <m/>
    <m/>
    <d v="2024-08-30T00:00:00"/>
    <s v="Friday"/>
    <s v="100 East 10th Street"/>
    <n v="171.78"/>
    <n v="163.78"/>
    <n v="3"/>
    <n v="494"/>
    <s v="Scheduled"/>
    <n v="54.593333333333334"/>
    <n v="26414.762499999997"/>
  </r>
  <r>
    <x v="19"/>
    <m/>
    <m/>
    <d v="2024-09-02T00:00:00"/>
    <s v="Monday"/>
    <s v="100 East 10th Street"/>
    <n v="268.62"/>
    <n v="260.62"/>
    <n v="3"/>
    <n v="497"/>
    <s v="Scheduled"/>
    <n v="86.873333333333335"/>
    <n v="26675.382499999996"/>
  </r>
  <r>
    <x v="19"/>
    <m/>
    <m/>
    <d v="2024-09-04T00:00:00"/>
    <s v="Wednesday"/>
    <s v="100 East 10th Street"/>
    <n v="165.36"/>
    <n v="157.36000000000001"/>
    <n v="2"/>
    <n v="499"/>
    <s v="Scheduled"/>
    <n v="78.680000000000007"/>
    <n v="26832.742499999997"/>
  </r>
  <r>
    <x v="20"/>
    <m/>
    <m/>
    <d v="2024-09-09T00:00:00"/>
    <s v="Monday"/>
    <s v="100 East 10th Street"/>
    <n v="337.86"/>
    <n v="329.86"/>
    <n v="5"/>
    <n v="504"/>
    <s v="Scheduled"/>
    <n v="65.972000000000008"/>
    <n v="27162.602499999997"/>
  </r>
  <r>
    <x v="29"/>
    <m/>
    <m/>
    <d v="2024-11-12T00:00:00"/>
    <s v="Tuesday"/>
    <s v="100 East 10th Street"/>
    <n v="526"/>
    <n v="518"/>
    <n v="64"/>
    <n v="568"/>
    <s v="Scheduled"/>
    <n v="8.09375"/>
    <n v="27680.602499999997"/>
  </r>
  <r>
    <x v="29"/>
    <m/>
    <m/>
    <d v="2024-11-15T00:00:00"/>
    <s v="Friday"/>
    <s v="100 East 10th Street"/>
    <n v="245.88000000000002"/>
    <n v="237.88000000000002"/>
    <n v="3"/>
    <n v="571"/>
    <s v="Scheduled"/>
    <n v="79.293333333333337"/>
    <n v="27918.482499999998"/>
  </r>
  <r>
    <x v="30"/>
    <m/>
    <m/>
    <d v="2024-11-17T00:00:00"/>
    <s v="Sunday"/>
    <s v="100 East 10th Street"/>
    <n v="203.5"/>
    <n v="195.5"/>
    <n v="2"/>
    <n v="573"/>
    <s v="Scheduled"/>
    <n v="97.75"/>
    <n v="28113.982499999998"/>
  </r>
  <r>
    <x v="30"/>
    <m/>
    <m/>
    <d v="2024-11-19T00:00:00"/>
    <s v="Tuesday"/>
    <s v="100 East 10th Street"/>
    <n v="82.66"/>
    <n v="74.66"/>
    <n v="2"/>
    <n v="575"/>
    <s v="Scheduled"/>
    <n v="37.33"/>
    <n v="28188.642499999998"/>
  </r>
  <r>
    <x v="30"/>
    <m/>
    <m/>
    <d v="2024-11-22T00:00:00"/>
    <s v="Friday"/>
    <s v="100 East 10th Street"/>
    <n v="179"/>
    <n v="171"/>
    <n v="3"/>
    <n v="578"/>
    <s v="Scheduled"/>
    <n v="57"/>
    <n v="28359.642499999998"/>
  </r>
  <r>
    <x v="31"/>
    <m/>
    <m/>
    <d v="2024-11-27T00:00:00"/>
    <s v="Wednesday"/>
    <s v="100 East 10th Street"/>
    <n v="189"/>
    <n v="181"/>
    <n v="5"/>
    <n v="583"/>
    <s v="Scheduled"/>
    <n v="36.200000000000003"/>
    <n v="28540.642499999998"/>
  </r>
  <r>
    <x v="31"/>
    <m/>
    <m/>
    <d v="2024-11-30T00:00:00"/>
    <s v="Saturday"/>
    <s v="100 East 10th Street"/>
    <n v="199"/>
    <n v="191"/>
    <n v="3"/>
    <n v="586"/>
    <s v="Scheduled"/>
    <n v="63.666666666666664"/>
    <n v="28731.642499999998"/>
  </r>
  <r>
    <x v="32"/>
    <m/>
    <m/>
    <d v="2024-12-05T00:00:00"/>
    <s v="Thursday"/>
    <s v="100 East 10th Street"/>
    <n v="200"/>
    <n v="192"/>
    <n v="5"/>
    <n v="591"/>
    <s v="Scheduled"/>
    <n v="38.4"/>
    <n v="28923.642499999998"/>
  </r>
  <r>
    <x v="33"/>
    <m/>
    <m/>
    <d v="2024-12-08T00:00:00"/>
    <s v="Sunday"/>
    <s v="100 East 10th Street"/>
    <n v="175"/>
    <n v="167"/>
    <n v="3"/>
    <n v="594"/>
    <s v="Scheduled"/>
    <n v="55.666666666666664"/>
    <n v="29090.642499999998"/>
  </r>
  <r>
    <x v="33"/>
    <m/>
    <m/>
    <d v="2024-12-11T00:00:00"/>
    <s v="Wednesday"/>
    <s v="100 East 10th Street"/>
    <n v="234.34000000000003"/>
    <n v="226.34000000000003"/>
    <n v="3"/>
    <n v="597"/>
    <s v="Scheduled"/>
    <n v="75.446666666666673"/>
    <n v="29316.982499999998"/>
  </r>
  <r>
    <x v="34"/>
    <m/>
    <m/>
    <d v="2024-12-16T00:00:00"/>
    <s v="Monday"/>
    <s v="100 East 10th Street"/>
    <n v="352.32000000000005"/>
    <n v="344.32000000000005"/>
    <n v="5"/>
    <n v="602"/>
    <s v="Store"/>
    <n v="68.864000000000004"/>
    <n v="29661.302499999998"/>
  </r>
  <r>
    <x v="35"/>
    <m/>
    <m/>
    <d v="2024-12-23T00:00:00"/>
    <s v="Monday"/>
    <s v="100 East 10th Street"/>
    <n v="260"/>
    <n v="252"/>
    <n v="7"/>
    <n v="609"/>
    <s v="Scheduled"/>
    <n v="36"/>
    <n v="29913.302499999998"/>
  </r>
  <r>
    <x v="35"/>
    <m/>
    <m/>
    <d v="2024-12-26T00:00:00"/>
    <s v="Thursday"/>
    <s v="100 East 10th Street"/>
    <n v="100"/>
    <n v="92"/>
    <n v="3"/>
    <n v="612"/>
    <s v="Scheduled"/>
    <n v="30.666666666666668"/>
    <n v="30005.302499999998"/>
  </r>
  <r>
    <x v="36"/>
    <m/>
    <m/>
    <d v="2025-01-04T00:00:00"/>
    <s v="Saturday"/>
    <s v="100 East 10th Street"/>
    <n v="103.74"/>
    <n v="95.74"/>
    <n v="9"/>
    <n v="621"/>
    <s v="Scheduled"/>
    <n v="10.637777777777778"/>
    <n v="30101.0425"/>
  </r>
  <r>
    <x v="37"/>
    <m/>
    <m/>
    <d v="2025-01-08T00:00:00"/>
    <s v="Wednesday"/>
    <s v="100 East 10th Street"/>
    <n v="371.78"/>
    <n v="363.78"/>
    <n v="4"/>
    <n v="625"/>
    <s v="Scheduled"/>
    <n v="90.944999999999993"/>
    <n v="30464.822499999998"/>
  </r>
  <r>
    <x v="38"/>
    <m/>
    <m/>
    <d v="2025-01-13T00:00:00"/>
    <s v="Monday"/>
    <s v="100 East 10th Street"/>
    <n v="273.55"/>
    <n v="265.55"/>
    <n v="5"/>
    <n v="630"/>
    <s v="Scheduled"/>
    <n v="53.11"/>
    <n v="30730.372499999998"/>
  </r>
  <r>
    <x v="39"/>
    <m/>
    <m/>
    <d v="2025-01-20T00:00:00"/>
    <s v="Monday"/>
    <s v="100 East 10th Street"/>
    <n v="360.6"/>
    <n v="352.6"/>
    <n v="7"/>
    <n v="637"/>
    <s v="Scheduled"/>
    <n v="50.371428571428574"/>
    <n v="31082.972499999996"/>
  </r>
  <r>
    <x v="39"/>
    <m/>
    <m/>
    <d v="2025-01-24T00:00:00"/>
    <s v="Friday"/>
    <s v="100 East 10th Street"/>
    <n v="264.56"/>
    <n v="256.56"/>
    <n v="4"/>
    <n v="641"/>
    <s v="Scheduled"/>
    <n v="64.14"/>
    <n v="31339.532499999998"/>
  </r>
  <r>
    <x v="40"/>
    <m/>
    <m/>
    <d v="2025-01-29T00:00:00"/>
    <s v="Wednesday"/>
    <s v="100 East 10th Street"/>
    <n v="294.77999999999997"/>
    <n v="286.77999999999997"/>
    <n v="5"/>
    <n v="646"/>
    <s v="Scheduled"/>
    <n v="57.355999999999995"/>
    <n v="31626.312499999996"/>
  </r>
  <r>
    <x v="41"/>
    <m/>
    <m/>
    <d v="2025-02-04T00:00:00"/>
    <s v="Tuesday"/>
    <s v="100 East 10th Street"/>
    <n v="294.88"/>
    <n v="286.88"/>
    <n v="6"/>
    <n v="652"/>
    <s v="Scheduled"/>
    <n v="47.813333333333333"/>
    <n v="31913.192499999997"/>
  </r>
  <r>
    <x v="41"/>
    <m/>
    <m/>
    <d v="2025-02-07T00:00:00"/>
    <s v="Friday"/>
    <s v="100 East 10th Street"/>
    <n v="344.02"/>
    <n v="336.02"/>
    <n v="3"/>
    <n v="655"/>
    <s v="Scheduled"/>
    <n v="112.00666666666666"/>
    <n v="32249.212499999998"/>
  </r>
  <r>
    <x v="42"/>
    <m/>
    <m/>
    <d v="2025-02-13T00:00:00"/>
    <s v="Thursday"/>
    <s v="100 East 10th Street"/>
    <n v="275.7"/>
    <n v="267.7"/>
    <n v="6"/>
    <n v="661"/>
    <s v="Scheduled"/>
    <n v="44.616666666666667"/>
    <n v="32516.912499999999"/>
  </r>
  <r>
    <x v="43"/>
    <m/>
    <m/>
    <d v="2025-02-18T00:00:00"/>
    <s v="Tuesday"/>
    <s v="100 East 10th Street"/>
    <n v="564.22"/>
    <n v="556.22"/>
    <n v="11"/>
    <n v="666"/>
    <s v="Scheduled"/>
    <n v="50.56545454545455"/>
    <n v="33073.1325"/>
  </r>
  <r>
    <x v="44"/>
    <m/>
    <m/>
    <d v="2025-03-01T00:00:00"/>
    <s v="Saturday"/>
    <s v="100 East 10th Street"/>
    <n v="533.88"/>
    <n v="525.88"/>
    <n v="11"/>
    <n v="677"/>
    <s v="Scheduled"/>
    <n v="47.807272727272725"/>
    <n v="33599.012499999997"/>
  </r>
  <r>
    <x v="45"/>
    <m/>
    <m/>
    <d v="2025-03-07T00:00:00"/>
    <s v="Friday"/>
    <s v="100 East 10th Street"/>
    <n v="271.43"/>
    <n v="263.43"/>
    <n v="6"/>
    <n v="683"/>
    <s v="Scheduled"/>
    <n v="43.905000000000001"/>
    <n v="33862.442499999997"/>
  </r>
  <r>
    <x v="46"/>
    <m/>
    <m/>
    <d v="2025-03-11T00:00:00"/>
    <s v="Tuesday"/>
    <s v="100 East 10th Street"/>
    <n v="145.22999999999999"/>
    <n v="137.22999999999999"/>
    <n v="4"/>
    <n v="687"/>
    <s v="Scheduled"/>
    <n v="34.307499999999997"/>
    <n v="33999.672500000001"/>
  </r>
  <r>
    <x v="47"/>
    <m/>
    <m/>
    <d v="2025-03-20T00:00:00"/>
    <s v="Thursday"/>
    <s v="100 East 10th Street"/>
    <n v="512.78"/>
    <n v="504.78"/>
    <n v="9"/>
    <n v="696"/>
    <s v="Scheduled"/>
    <n v="56.086666666666666"/>
    <n v="34504.452499999999"/>
  </r>
  <r>
    <x v="48"/>
    <m/>
    <m/>
    <d v="2025-03-26T00:00:00"/>
    <s v="Wednesday"/>
    <s v="100 East 10th Street"/>
    <n v="350.82"/>
    <n v="342.82"/>
    <n v="6"/>
    <n v="702"/>
    <s v="Scheduled"/>
    <n v="57.136666666666663"/>
    <n v="34847.272499999999"/>
  </r>
  <r>
    <x v="49"/>
    <m/>
    <m/>
    <d v="2025-04-02T00:00:00"/>
    <s v="Wednesday"/>
    <s v="100 East 10th Street"/>
    <n v="283.89999999999998"/>
    <n v="275.89999999999998"/>
    <n v="7"/>
    <n v="709"/>
    <s v="Scheduled"/>
    <n v="39.414285714285711"/>
    <n v="35123.172500000001"/>
  </r>
  <r>
    <x v="50"/>
    <m/>
    <m/>
    <d v="2025-04-07T00:00:00"/>
    <s v="Monday"/>
    <s v="100 East 10th Street"/>
    <n v="476.45000000000005"/>
    <n v="468.45000000000005"/>
    <n v="5"/>
    <n v="714"/>
    <s v="Scheduled"/>
    <n v="93.690000000000012"/>
    <n v="35591.622499999998"/>
  </r>
  <r>
    <x v="50"/>
    <m/>
    <m/>
    <d v="2025-04-11T00:00:00"/>
    <s v="Friday"/>
    <s v="100 East 10th Street"/>
    <n v="217.02"/>
    <n v="209.02"/>
    <n v="4"/>
    <n v="718"/>
    <s v="Scheduled"/>
    <n v="52.255000000000003"/>
    <n v="35800.642499999994"/>
  </r>
  <r>
    <x v="0"/>
    <m/>
    <m/>
    <d v="2025-04-21T00:00:00"/>
    <s v="Monday"/>
    <s v="100 East 10th Street"/>
    <n v="412.96000000000004"/>
    <n v="404.96000000000004"/>
    <n v="10"/>
    <n v="728"/>
    <s v="Scheduled"/>
    <n v="40.496000000000002"/>
    <n v="36205.602499999994"/>
  </r>
  <r>
    <x v="1"/>
    <m/>
    <m/>
    <d v="2025-04-29T00:00:00"/>
    <s v="Tuesday"/>
    <s v="100 East 10th Street"/>
    <n v="401.98"/>
    <n v="393.98"/>
    <n v="8"/>
    <n v="736"/>
    <s v="Scheduled"/>
    <n v="49.247500000000002"/>
    <n v="36599.582499999997"/>
  </r>
  <r>
    <x v="2"/>
    <m/>
    <m/>
    <d v="2025-05-07T00:00:00"/>
    <s v="Wednesday"/>
    <s v="100 East 10th Street"/>
    <n v="369.20000000000005"/>
    <n v="361.20000000000005"/>
    <n v="8"/>
    <n v="744"/>
    <s v="Scheduled"/>
    <n v="45.150000000000006"/>
    <n v="36960.782499999994"/>
  </r>
  <r>
    <x v="3"/>
    <m/>
    <m/>
    <d v="2025-05-14T00:00:00"/>
    <s v="Wednesday"/>
    <s v="100 East 10th Street"/>
    <n v="399.4"/>
    <n v="391.4"/>
    <n v="7"/>
    <n v="751"/>
    <s v="Scheduled"/>
    <n v="55.914285714285711"/>
    <n v="37352.182499999995"/>
  </r>
  <r>
    <x v="4"/>
    <m/>
    <m/>
    <d v="2025-05-20T00:00:00"/>
    <s v="Tuesday"/>
    <s v="100 East 10th Street"/>
    <n v="294.32"/>
    <n v="286.32"/>
    <n v="6"/>
    <n v="757"/>
    <s v="Scheduled"/>
    <n v="47.72"/>
    <n v="37638.502499999995"/>
  </r>
  <r>
    <x v="5"/>
    <m/>
    <m/>
    <d v="2025-05-27T00:00:00"/>
    <s v="Tuesday"/>
    <s v="100 East 10th Street"/>
    <n v="372.74"/>
    <n v="364.74"/>
    <n v="7"/>
    <n v="764"/>
    <s v="Scheduled"/>
    <n v="52.105714285714285"/>
    <n v="38003.242499999993"/>
  </r>
  <r>
    <x v="6"/>
    <m/>
    <m/>
    <d v="2025-06-03T00:00:00"/>
    <s v="Tuesday"/>
    <s v="100 East 10th Street"/>
    <n v="269.43"/>
    <n v="261.43"/>
    <n v="7"/>
    <n v="771"/>
    <s v="Scheduled"/>
    <n v="37.347142857142856"/>
    <n v="38264.672499999993"/>
  </r>
  <r>
    <x v="7"/>
    <m/>
    <m/>
    <d v="2025-06-10T00:00:00"/>
    <s v="Tuesday"/>
    <s v="100 East 10th Street"/>
    <n v="294.12"/>
    <n v="286.12"/>
    <n v="7"/>
    <n v="778"/>
    <s v="Scheduled"/>
    <n v="40.874285714285712"/>
    <n v="38550.792499999996"/>
  </r>
  <r>
    <x v="8"/>
    <m/>
    <m/>
    <d v="2025-06-18T00:00:00"/>
    <s v="Wednesday"/>
    <s v="100 East 10th Street"/>
    <n v="395.18"/>
    <n v="387.18"/>
    <n v="8"/>
    <n v="786"/>
    <s v="Scheduled"/>
    <n v="48.397500000000001"/>
    <n v="38937.972499999996"/>
  </r>
  <r>
    <x v="9"/>
    <m/>
    <m/>
    <d v="2025-06-25T00:00:00"/>
    <s v="Wednesday"/>
    <s v="100 East 10th Street"/>
    <n v="361.9"/>
    <n v="353.9"/>
    <n v="7"/>
    <n v="793"/>
    <s v="Scheduled"/>
    <n v="50.557142857142857"/>
    <n v="39291.872499999998"/>
  </r>
  <r>
    <x v="10"/>
    <m/>
    <m/>
    <d v="2025-07-01T00:00:00"/>
    <s v="Tuesday"/>
    <s v="100 East 10th Street"/>
    <n v="92.42"/>
    <n v="84.42"/>
    <n v="6"/>
    <n v="799"/>
    <s v="Scheduled"/>
    <n v="14.07"/>
    <n v="39376.292499999996"/>
  </r>
  <r>
    <x v="31"/>
    <m/>
    <m/>
    <d v="2025-11-24T00:00:00"/>
    <s v="Monday"/>
    <s v="100 East 10th Street"/>
    <n v="300.84000000000003"/>
    <n v="292.84000000000003"/>
    <n v="146"/>
    <n v="945"/>
    <s v="Scheduled"/>
    <n v="2.0057534246575344"/>
    <n v="39669.132499999992"/>
  </r>
  <r>
    <x v="32"/>
    <m/>
    <m/>
    <d v="2025-12-01T00:00:00"/>
    <s v="Monday"/>
    <s v="100 East 10th Street"/>
    <n v="380.2"/>
    <n v="372.2"/>
    <n v="7"/>
    <n v="952"/>
    <s v="Scheduled"/>
    <n v="53.171428571428571"/>
    <n v="40041.33249999999"/>
  </r>
  <r>
    <x v="33"/>
    <m/>
    <m/>
    <d v="2025-12-08T00:00:00"/>
    <s v="Monday"/>
    <s v="100 East 10th Street"/>
    <n v="389.28"/>
    <n v="381.28"/>
    <n v="7"/>
    <n v="959"/>
    <s v="Scheduled"/>
    <n v="54.468571428571423"/>
    <n v="40422.612499999988"/>
  </r>
  <r>
    <x v="33"/>
    <m/>
    <m/>
    <d v="2025-12-12T00:00:00"/>
    <s v="Friday"/>
    <s v="100 East 10th Street"/>
    <n v="293.22000000000003"/>
    <n v="285.22000000000003"/>
    <n v="4"/>
    <n v="963"/>
    <s v="Store"/>
    <n v="71.305000000000007"/>
    <n v="40707.83249999999"/>
  </r>
  <r>
    <x v="34"/>
    <m/>
    <m/>
    <d v="2025-12-15T00:00:00"/>
    <s v="Monday"/>
    <s v="100 East 10th Street"/>
    <n v="198"/>
    <n v="190"/>
    <n v="3"/>
    <n v="966"/>
    <s v="Scheduled"/>
    <n v="63.333333333333336"/>
    <n v="40897.83249999999"/>
  </r>
  <r>
    <x v="35"/>
    <m/>
    <m/>
    <d v="2025-12-22T00:00:00"/>
    <s v="Monday"/>
    <s v="100 East 10th Street"/>
    <n v="365.62"/>
    <n v="357.62"/>
    <n v="7"/>
    <n v="973"/>
    <s v="Scheduled"/>
    <n v="51.088571428571427"/>
    <n v="41255.452499999992"/>
  </r>
  <r>
    <x v="35"/>
    <m/>
    <m/>
    <d v="2025-12-27T00:00:00"/>
    <s v="Saturday"/>
    <s v="100 East 10th Street"/>
    <n v="145.04"/>
    <n v="137.04"/>
    <n v="5"/>
    <n v="978"/>
    <s v="Store"/>
    <n v="27.407999999999998"/>
    <n v="41392.492499999993"/>
  </r>
  <r>
    <x v="52"/>
    <m/>
    <m/>
    <d v="2025-12-29T00:00:00"/>
    <s v="Monday"/>
    <s v="100 East 10th Street"/>
    <n v="205.22"/>
    <n v="197.22"/>
    <n v="2"/>
    <n v="980"/>
    <s v="Scheduled"/>
    <n v="98.61"/>
    <n v="41589.712499999994"/>
  </r>
  <r>
    <x v="36"/>
    <m/>
    <m/>
    <d v="2026-01-05T00:00:00"/>
    <s v="Monday"/>
    <s v="100 East 10th Street"/>
    <n v="326.39999999999998"/>
    <n v="318.39999999999998"/>
    <n v="7"/>
    <n v="987"/>
    <s v="Scheduled"/>
    <n v="45.48571428571428"/>
    <n v="58635.442500000005"/>
  </r>
  <r>
    <x v="37"/>
    <m/>
    <m/>
    <d v="2026-01-12T00:00:00"/>
    <s v="Monday"/>
    <s v="Greenville Blvd &amp; Red Banks Rd"/>
    <n v="131.54"/>
    <n v="123.53999999999999"/>
    <n v="7"/>
    <n v="994"/>
    <s v="Scheduled"/>
    <n v="17.648571428571426"/>
    <n v="42031.652499999997"/>
  </r>
  <r>
    <x v="37"/>
    <m/>
    <m/>
    <d v="2026-01-12T00:00:00"/>
    <s v="Monday"/>
    <s v="100 East 10th Street"/>
    <n v="345.44"/>
    <n v="337.44"/>
    <n v="7"/>
    <n v="994"/>
    <s v="Scheduled"/>
    <n v="48.205714285714286"/>
    <n v="42369.092499999999"/>
  </r>
  <r>
    <x v="37"/>
    <m/>
    <m/>
    <d v="2026-01-12T00:00:00"/>
    <s v="Monday"/>
    <s v="Stanton Sq &amp; Arlington Dr"/>
    <n v="59.78"/>
    <n v="51.78"/>
    <n v="7"/>
    <n v="994"/>
    <s v="Scheduled"/>
    <n v="7.3971428571428577"/>
    <n v="42420.872499999998"/>
  </r>
  <r>
    <x v="39"/>
    <m/>
    <m/>
    <d v="2026-01-19T00:00:00"/>
    <s v="Monday"/>
    <s v="Greenville Blvd &amp; Red Banks Rd"/>
    <n v="224.56"/>
    <n v="216.56"/>
    <n v="7"/>
    <n v="1001"/>
    <s v="Scheduled"/>
    <n v="30.937142857142856"/>
    <n v="42637.432499999995"/>
  </r>
  <r>
    <x v="39"/>
    <m/>
    <m/>
    <d v="2026-01-19T00:00:00"/>
    <s v="Monday"/>
    <s v="100 East 10th Street"/>
    <n v="426.98"/>
    <n v="418.98"/>
    <n v="7"/>
    <n v="1001"/>
    <s v="Scheduled"/>
    <n v="59.854285714285716"/>
    <n v="43056.412499999999"/>
  </r>
  <r>
    <x v="39"/>
    <m/>
    <m/>
    <d v="2026-01-19T00:00:00"/>
    <s v="Monday"/>
    <s v="Stanton Sq &amp; Arlington Dr"/>
    <n v="378.88"/>
    <n v="370.88"/>
    <n v="7"/>
    <n v="1001"/>
    <s v="Scheduled"/>
    <n v="52.982857142857142"/>
    <n v="43427.292499999996"/>
  </r>
  <r>
    <x v="40"/>
    <m/>
    <m/>
    <d v="2026-01-26T00:00:00"/>
    <s v="Monday"/>
    <s v="Greenville Blvd &amp; Red Banks Rd"/>
    <n v="248.76"/>
    <n v="240.76"/>
    <n v="7"/>
    <n v="1008"/>
    <s v="Scheduled"/>
    <n v="34.394285714285715"/>
    <n v="43668.052499999998"/>
  </r>
  <r>
    <x v="40"/>
    <m/>
    <m/>
    <s v="1/26/2026"/>
    <s v="Monday"/>
    <s v="100 East 10th Street"/>
    <n v="388.78"/>
    <n v="380.78"/>
    <n v="7"/>
    <n v="1008"/>
    <s v="Scheduled"/>
    <n v="54.397142857142853"/>
    <n v="44048.832499999997"/>
  </r>
  <r>
    <x v="40"/>
    <m/>
    <m/>
    <s v="1/26/2026"/>
    <s v="Monday"/>
    <s v="Stanton Sq &amp; Arlington Dr"/>
    <n v="148.88"/>
    <n v="140.88"/>
    <n v="7"/>
    <n v="1008"/>
    <s v="Scheduled"/>
    <n v="20.125714285714285"/>
    <n v="44189.712499999994"/>
  </r>
  <r>
    <x v="41"/>
    <m/>
    <m/>
    <d v="2026-02-02T00:00:00"/>
    <s v="Monday"/>
    <s v="Greenville Blvd &amp; Red Banks Rd"/>
    <n v="248.48"/>
    <n v="240.48"/>
    <n v="7"/>
    <n v="1015"/>
    <s v="Scheduled"/>
    <n v="34.354285714285716"/>
    <n v="44430.192499999997"/>
  </r>
  <r>
    <x v="41"/>
    <m/>
    <m/>
    <d v="2026-02-02T00:00:00"/>
    <s v="Monday"/>
    <s v="100 East 10th Street"/>
    <n v="204.88"/>
    <n v="196.88"/>
    <n v="7"/>
    <n v="1015"/>
    <s v="Scheduled"/>
    <n v="28.125714285714285"/>
    <n v="44627.072499999995"/>
  </r>
  <r>
    <x v="41"/>
    <m/>
    <m/>
    <d v="2026-02-02T00:00:00"/>
    <s v="Monday"/>
    <s v="Stanton Sq &amp; Arlington Dr"/>
    <n v="437.3"/>
    <n v="429.3"/>
    <n v="7"/>
    <n v="1015"/>
    <s v="Scheduled"/>
    <n v="61.328571428571429"/>
    <n v="45056.372499999998"/>
  </r>
  <r>
    <x v="41"/>
    <m/>
    <m/>
    <d v="2026-02-04T00:00:00"/>
    <s v="Wednesday"/>
    <s v="Stanton Sq &amp; Arlington Dr"/>
    <n v="54.92"/>
    <n v="46.92"/>
    <n v="2"/>
    <n v="1017"/>
    <s v="Me"/>
    <n v="23.46"/>
    <n v="45103.292499999996"/>
  </r>
  <r>
    <x v="42"/>
    <m/>
    <m/>
    <d v="2026-02-09T00:00:00"/>
    <s v="Monday"/>
    <s v="Greenville Blvd &amp; Red Banks Rd"/>
    <n v="248.16"/>
    <n v="240.16"/>
    <n v="7"/>
    <n v="1022"/>
    <s v="Scheduled"/>
    <n v="34.308571428571426"/>
    <n v="45343.452499999999"/>
  </r>
  <r>
    <x v="42"/>
    <m/>
    <m/>
    <d v="2026-02-09T00:00:00"/>
    <s v="Monday"/>
    <s v="100 East 10th Street"/>
    <n v="508.85999999999996"/>
    <n v="500.85999999999996"/>
    <n v="7"/>
    <n v="1022"/>
    <s v="Scheduled"/>
    <n v="71.551428571428559"/>
    <n v="45844.3125"/>
  </r>
  <r>
    <x v="42"/>
    <m/>
    <m/>
    <d v="2026-02-09T00:00:00"/>
    <s v="Monday"/>
    <s v="Stanton Sq &amp; Arlington Dr"/>
    <n v="313.12"/>
    <n v="305.12"/>
    <n v="5"/>
    <n v="1022"/>
    <s v="Scheduled"/>
    <n v="61.024000000000001"/>
    <n v="46149.432500000003"/>
  </r>
  <r>
    <x v="43"/>
    <m/>
    <m/>
    <d v="2026-02-16T00:00:00"/>
    <s v="Monday"/>
    <s v="Greenville Blvd &amp; Red Banks Rd"/>
    <n v="186.6"/>
    <n v="178.6"/>
    <n v="7"/>
    <n v="1029"/>
    <s v="Scheduled"/>
    <n v="25.514285714285712"/>
    <n v="46328.032500000001"/>
  </r>
  <r>
    <x v="43"/>
    <m/>
    <m/>
    <d v="2026-02-16T00:00:00"/>
    <s v="Monday"/>
    <s v="100 East 10th Street"/>
    <n v="373.56"/>
    <n v="365.56"/>
    <n v="7"/>
    <n v="1029"/>
    <s v="Scheduled"/>
    <n v="52.222857142857144"/>
    <n v="46693.592499999999"/>
  </r>
  <r>
    <x v="43"/>
    <m/>
    <m/>
    <d v="2026-02-16T00:00:00"/>
    <s v="Monday"/>
    <s v="Stanton Sq &amp; Arlington Dr"/>
    <n v="497.26"/>
    <n v="489.26"/>
    <n v="7"/>
    <n v="1029"/>
    <s v="Scheduled"/>
    <n v="69.894285714285715"/>
    <n v="47182.852500000001"/>
  </r>
  <r>
    <x v="44"/>
    <m/>
    <m/>
    <d v="2026-02-23T00:00:00"/>
    <s v="Monday"/>
    <s v="Greenville Blvd &amp; Red Banks Rd"/>
    <n v="294.18"/>
    <n v="286.18"/>
    <n v="7"/>
    <n v="1036"/>
    <s v="Scheduled"/>
    <n v="40.882857142857141"/>
    <n v="47469.032500000001"/>
  </r>
  <r>
    <x v="44"/>
    <m/>
    <m/>
    <d v="2026-02-23T00:00:00"/>
    <s v="Monday"/>
    <s v="100 East 10th Street"/>
    <n v="422.36"/>
    <n v="414.36"/>
    <n v="7"/>
    <n v="1036"/>
    <s v="Scheduled"/>
    <n v="59.194285714285719"/>
    <n v="47883.392500000002"/>
  </r>
  <r>
    <x v="44"/>
    <m/>
    <m/>
    <d v="2026-02-23T00:00:00"/>
    <s v="Monday"/>
    <s v="Stanton Sq &amp; Arlington Dr"/>
    <n v="471.72"/>
    <n v="463.72"/>
    <n v="7"/>
    <n v="1036"/>
    <s v="Scheduled"/>
    <n v="66.245714285714286"/>
    <n v="48347.112500000003"/>
  </r>
  <r>
    <x v="44"/>
    <m/>
    <m/>
    <d v="2026-02-28T00:00:00"/>
    <s v="Saturday"/>
    <s v="100 East 10th Street"/>
    <n v="361.18"/>
    <n v="353.18"/>
    <n v="5"/>
    <n v="1041"/>
    <s v="Store"/>
    <n v="70.635999999999996"/>
    <n v="48700.292500000003"/>
  </r>
  <r>
    <x v="44"/>
    <m/>
    <m/>
    <d v="2026-02-28T00:00:00"/>
    <s v="Saturday"/>
    <s v="Stanton Sq &amp; Arlington Dr"/>
    <n v="358.41999999999996"/>
    <n v="350.41999999999996"/>
    <n v="5"/>
    <n v="1041"/>
    <s v="Me"/>
    <n v="70.083999999999989"/>
    <n v="49050.712500000001"/>
  </r>
  <r>
    <x v="45"/>
    <m/>
    <m/>
    <d v="2026-03-02T00:00:00"/>
    <s v="Monday"/>
    <s v="Greenville Blvd &amp; Red Banks Rd"/>
    <n v="268.68"/>
    <n v="260.68"/>
    <n v="7"/>
    <n v="1043"/>
    <s v="Scheduled"/>
    <n v="37.24"/>
    <n v="58635.442500000005"/>
  </r>
  <r>
    <x v="46"/>
    <m/>
    <m/>
    <d v="2026-03-09T00:00:00"/>
    <s v="Monday"/>
    <s v="Greenville Blvd &amp; Red Banks Rd"/>
    <n v="211.49"/>
    <n v="203.49"/>
    <n v="7"/>
    <n v="1050"/>
    <s v="Scheduled"/>
    <n v="29.07"/>
    <n v="49514.8825"/>
  </r>
  <r>
    <x v="46"/>
    <m/>
    <m/>
    <d v="2026-03-09T00:00:00"/>
    <s v="Monday"/>
    <s v="Stanton Sq &amp; Arlington Dr"/>
    <n v="527.48"/>
    <n v="519.48"/>
    <n v="9"/>
    <n v="1050"/>
    <s v="Scheduled"/>
    <n v="57.72"/>
    <n v="50034.362500000003"/>
  </r>
  <r>
    <x v="46"/>
    <m/>
    <m/>
    <d v="2026-03-09T00:00:00"/>
    <s v="Monday"/>
    <s v="100 East 10th Street"/>
    <n v="457.5"/>
    <n v="449.5"/>
    <n v="9"/>
    <n v="1050"/>
    <s v="Scheduled"/>
    <n v="49.944444444444443"/>
    <n v="50483.862500000003"/>
  </r>
  <r>
    <x v="47"/>
    <m/>
    <m/>
    <d v="2026-03-16T00:00:00"/>
    <s v="Monday"/>
    <s v="100 East 10th Street"/>
    <n v="295.38"/>
    <n v="287.38"/>
    <n v="7"/>
    <n v="1057"/>
    <s v="Scheduled"/>
    <n v="41.054285714285712"/>
    <n v="50771.2425"/>
  </r>
  <r>
    <x v="47"/>
    <m/>
    <m/>
    <d v="2026-03-16T00:00:00"/>
    <s v="Monday"/>
    <s v="Stanton Sq &amp; Arlington Dr"/>
    <n v="313.06"/>
    <n v="305.06"/>
    <n v="7"/>
    <n v="1057"/>
    <s v="Scheduled"/>
    <n v="43.58"/>
    <n v="51076.302499999998"/>
  </r>
  <r>
    <x v="47"/>
    <m/>
    <m/>
    <d v="2026-03-16T00:00:00"/>
    <s v="Monday"/>
    <s v="Greenville Blvd &amp; Red Banks Rd"/>
    <n v="254.82"/>
    <n v="246.82"/>
    <n v="7"/>
    <n v="1057"/>
    <s v="Scheduled"/>
    <n v="35.26"/>
    <n v="51323.122499999998"/>
  </r>
  <r>
    <x v="48"/>
    <m/>
    <m/>
    <d v="2026-03-22T00:00:00"/>
    <s v="Sunday"/>
    <s v="100 East 10th Street"/>
    <n v="377.42"/>
    <n v="369.42"/>
    <n v="6"/>
    <n v="1063"/>
    <s v="Store"/>
    <n v="61.57"/>
    <n v="58635.442500000005"/>
  </r>
  <r>
    <x v="48"/>
    <m/>
    <m/>
    <d v="2026-03-23T00:00:00"/>
    <s v="Monday"/>
    <s v="Greenville Blvd &amp; Red Banks Rd"/>
    <n v="227.62"/>
    <n v="219.62"/>
    <n v="7"/>
    <n v="1064"/>
    <s v="Scheduled"/>
    <n v="31.374285714285715"/>
    <n v="51912.162499999999"/>
  </r>
  <r>
    <x v="48"/>
    <m/>
    <m/>
    <d v="2026-03-23T00:00:00"/>
    <s v="Monday"/>
    <s v="Stanton Sq &amp; Arlington Dr"/>
    <n v="406.3"/>
    <n v="398.3"/>
    <n v="7"/>
    <n v="1064"/>
    <s v="Scheduled"/>
    <n v="56.9"/>
    <n v="52310.462500000001"/>
  </r>
  <r>
    <x v="49"/>
    <m/>
    <m/>
    <d v="2026-03-30T00:00:00"/>
    <s v="Monday"/>
    <s v="Greenville Blvd &amp; Red Banks Rd"/>
    <n v="247.40000000000003"/>
    <n v="239.40000000000003"/>
    <n v="7"/>
    <n v="1071"/>
    <s v="Scheduled"/>
    <n v="34.200000000000003"/>
    <n v="52549.862500000003"/>
  </r>
  <r>
    <x v="49"/>
    <m/>
    <m/>
    <d v="2026-03-30T00:00:00"/>
    <s v="Monday"/>
    <s v="100 East 10th Street"/>
    <n v="595.07999999999993"/>
    <n v="587.07999999999993"/>
    <n v="7"/>
    <n v="1071"/>
    <s v="Scheduled"/>
    <n v="83.868571428571414"/>
    <n v="53136.942500000005"/>
  </r>
  <r>
    <x v="49"/>
    <m/>
    <m/>
    <d v="2026-03-30T00:00:00"/>
    <s v="Monday"/>
    <s v="Stanton Sq &amp; Arlington Dr"/>
    <n v="380.65999999999997"/>
    <n v="372.65999999999997"/>
    <n v="7"/>
    <n v="1071"/>
    <s v="Scheduled"/>
    <n v="53.23714285714285"/>
    <n v="53509.602500000008"/>
  </r>
  <r>
    <x v="50"/>
    <m/>
    <m/>
    <d v="2026-04-06T00:00:00"/>
    <s v="Monday"/>
    <s v="Greenville Blvd &amp; Red Banks Rd"/>
    <n v="244.56"/>
    <n v="236.56"/>
    <n v="7"/>
    <n v="1078"/>
    <s v="Scheduled"/>
    <n v="33.794285714285714"/>
    <n v="53746.162500000006"/>
  </r>
  <r>
    <x v="50"/>
    <m/>
    <m/>
    <d v="2026-04-06T00:00:00"/>
    <s v="Monday"/>
    <s v="100 East 10th Street"/>
    <n v="405.96000000000004"/>
    <n v="397.96000000000004"/>
    <n v="7"/>
    <n v="1078"/>
    <s v="Scheduled"/>
    <n v="56.851428571428578"/>
    <n v="54144.122500000005"/>
  </r>
  <r>
    <x v="50"/>
    <m/>
    <m/>
    <d v="2026-04-06T00:00:00"/>
    <s v="Monday"/>
    <s v="Stanton Sq &amp; Arlington Dr"/>
    <n v="341.62"/>
    <n v="333.62"/>
    <n v="7"/>
    <n v="1078"/>
    <s v="Scheduled"/>
    <n v="47.660000000000004"/>
    <n v="54477.742500000008"/>
  </r>
  <r>
    <x v="51"/>
    <m/>
    <m/>
    <d v="2026-04-13T00:00:00"/>
    <s v="Monday"/>
    <s v="Greenville Blvd &amp; Red Banks Rd"/>
    <n v="201.5"/>
    <n v="193.5"/>
    <n v="7"/>
    <n v="1085"/>
    <s v="Scheduled"/>
    <n v="27.642857142857142"/>
    <n v="54671.242500000008"/>
  </r>
  <r>
    <x v="51"/>
    <m/>
    <m/>
    <d v="2026-04-13T00:00:00"/>
    <s v="Monday"/>
    <s v="100 East 10th Street"/>
    <n v="414.9"/>
    <n v="406.9"/>
    <n v="7"/>
    <n v="1085"/>
    <s v="Scheduled"/>
    <n v="58.128571428571426"/>
    <n v="55078.142500000009"/>
  </r>
  <r>
    <x v="51"/>
    <m/>
    <m/>
    <d v="2026-04-13T00:00:00"/>
    <s v="Monday"/>
    <s v="Stanton Sq &amp; Arlington Dr"/>
    <n v="453.74"/>
    <n v="445.74"/>
    <n v="7"/>
    <n v="1085"/>
    <s v="Scheduled"/>
    <n v="63.677142857142861"/>
    <n v="55523.882500000007"/>
  </r>
  <r>
    <x v="0"/>
    <m/>
    <m/>
    <d v="2026-04-20T00:00:00"/>
    <s v="Monday"/>
    <s v="100 East 10th Street"/>
    <n v="490.96"/>
    <n v="482.96"/>
    <n v="7"/>
    <n v="1092"/>
    <s v="Scheduled"/>
    <n v="68.994285714285709"/>
    <n v="56006.842500000006"/>
  </r>
  <r>
    <x v="0"/>
    <m/>
    <m/>
    <d v="2026-04-20T00:00:00"/>
    <s v="Monday"/>
    <s v="Greenville Blvd &amp; Red Banks Rd"/>
    <n v="249.07999999999998"/>
    <n v="241.07999999999998"/>
    <n v="7"/>
    <n v="1092"/>
    <s v="Scheduled"/>
    <n v="34.44"/>
    <n v="56247.922500000008"/>
  </r>
  <r>
    <x v="0"/>
    <m/>
    <m/>
    <d v="2026-04-20T00:00:00"/>
    <s v="Monday"/>
    <s v="Stanton Sq &amp; Arlington Dr"/>
    <n v="480.17999999999995"/>
    <n v="472.17999999999995"/>
    <n v="7"/>
    <n v="1092"/>
    <s v="Scheduled"/>
    <n v="67.454285714285703"/>
    <n v="56720.102500000008"/>
  </r>
  <r>
    <x v="1"/>
    <m/>
    <m/>
    <d v="2026-04-27T00:00:00"/>
    <s v="Monday"/>
    <s v="Greenville Blvd &amp; Red Banks Rd"/>
    <n v="224.86"/>
    <n v="216.86"/>
    <n v="7"/>
    <n v="1099"/>
    <s v="Scheduled"/>
    <n v="30.98"/>
    <n v="56936.962500000009"/>
  </r>
  <r>
    <x v="1"/>
    <m/>
    <m/>
    <d v="2026-04-27T00:00:00"/>
    <s v="Monday"/>
    <s v="100 East 10th Street"/>
    <n v="377.84"/>
    <n v="369.84"/>
    <n v="7"/>
    <n v="1099"/>
    <s v="Scheduled"/>
    <n v="52.834285714285713"/>
    <n v="57306.802500000005"/>
  </r>
  <r>
    <x v="1"/>
    <m/>
    <m/>
    <d v="2026-04-27T00:00:00"/>
    <s v="Monday"/>
    <s v="Stanton Sq &amp; Arlington Dr"/>
    <n v="312.74"/>
    <n v="304.74"/>
    <n v="7"/>
    <n v="1099"/>
    <s v="Scheduled"/>
    <n v="43.534285714285716"/>
    <n v="57611.542500000003"/>
  </r>
  <r>
    <x v="2"/>
    <m/>
    <m/>
    <d v="2026-05-04T00:00:00"/>
    <s v="Monday"/>
    <s v="Greenville Blvd &amp; Red Banks Rd"/>
    <n v="269.86"/>
    <n v="261.86"/>
    <n v="7"/>
    <n v="1106"/>
    <s v="Scheduled"/>
    <n v="37.408571428571427"/>
    <n v="57873.402500000004"/>
  </r>
  <r>
    <x v="2"/>
    <m/>
    <m/>
    <d v="2026-05-04T00:00:00"/>
    <s v="Monday"/>
    <s v="100 East 10th Street"/>
    <n v="511.45999999999992"/>
    <n v="503.45999999999992"/>
    <n v="7"/>
    <n v="1106"/>
    <s v="Scheduled"/>
    <n v="71.922857142857126"/>
    <n v="58376.862500000003"/>
  </r>
  <r>
    <x v="2"/>
    <m/>
    <m/>
    <d v="2026-05-04T00:00:00"/>
    <s v="Monday"/>
    <s v="Stanton Sq &amp; Arlington Dr"/>
    <n v="266.58"/>
    <n v="258.58"/>
    <n v="7"/>
    <n v="1106"/>
    <s v="Scheduled"/>
    <n v="36.94"/>
    <n v="58635.44250000000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4">
  <r>
    <x v="0"/>
    <n v="557.14"/>
    <m/>
  </r>
  <r>
    <x v="1"/>
    <n v="1414.44"/>
    <m/>
  </r>
  <r>
    <x v="2"/>
    <n v="541.54999999999995"/>
    <m/>
  </r>
  <r>
    <x v="3"/>
    <n v="2158.58"/>
    <m/>
  </r>
  <r>
    <x v="4"/>
    <n v="1621.1999999999998"/>
    <m/>
  </r>
  <r>
    <x v="5"/>
    <n v="1939.9800000000002"/>
    <m/>
  </r>
  <r>
    <x v="6"/>
    <n v="1765.8400000000001"/>
    <m/>
  </r>
  <r>
    <x v="7"/>
    <n v="2040.6399999999999"/>
    <m/>
  </r>
  <r>
    <x v="8"/>
    <n v="2880.7400000000002"/>
    <m/>
  </r>
  <r>
    <x v="9"/>
    <n v="976.11000000000013"/>
    <m/>
  </r>
  <r>
    <x v="10"/>
    <n v="1763.7"/>
    <m/>
  </r>
  <r>
    <x v="11"/>
    <n v="1713.0399999999997"/>
    <m/>
  </r>
  <r>
    <x v="12"/>
    <n v="1831.16"/>
    <m/>
  </r>
  <r>
    <x v="13"/>
    <n v="1874.04"/>
    <m/>
  </r>
  <r>
    <x v="14"/>
    <n v="2178.61"/>
    <m/>
  </r>
  <r>
    <x v="15"/>
    <n v="1563.14"/>
    <m/>
  </r>
  <r>
    <x v="16"/>
    <n v="2107.88"/>
    <m/>
  </r>
  <r>
    <x v="17"/>
    <n v="1852.32"/>
    <m/>
  </r>
  <r>
    <x v="18"/>
    <n v="1822.8400000000001"/>
    <m/>
  </r>
  <r>
    <x v="19"/>
    <n v="859.54"/>
    <m/>
  </r>
  <r>
    <x v="20"/>
    <n v="1169.07"/>
    <m/>
  </r>
  <r>
    <x v="21"/>
    <n v="849.34"/>
    <m/>
  </r>
  <r>
    <x v="22"/>
    <n v="973.73"/>
    <m/>
  </r>
  <r>
    <x v="23"/>
    <n v="1311.7325000000001"/>
    <m/>
  </r>
  <r>
    <x v="24"/>
    <n v="685.68000000000006"/>
    <m/>
  </r>
  <r>
    <x v="25"/>
    <n v="637.91999999999996"/>
    <m/>
  </r>
  <r>
    <x v="26"/>
    <n v="1151.6200000000001"/>
    <m/>
  </r>
  <r>
    <x v="27"/>
    <n v="146"/>
    <m/>
  </r>
  <r>
    <x v="28"/>
    <n v="713.16000000000008"/>
    <m/>
  </r>
  <r>
    <x v="29"/>
    <n v="750"/>
    <m/>
  </r>
  <r>
    <x v="30"/>
    <n v="859.82"/>
    <m/>
  </r>
  <r>
    <x v="31"/>
    <n v="597.79999999999995"/>
    <m/>
  </r>
  <r>
    <x v="32"/>
    <n v="476.44"/>
    <m/>
  </r>
  <r>
    <x v="33"/>
    <n v="929"/>
    <m/>
  </r>
  <r>
    <x v="34"/>
    <n v="722.68"/>
    <m/>
  </r>
  <r>
    <x v="35"/>
    <n v="945.48"/>
    <m/>
  </r>
  <r>
    <x v="36"/>
    <n v="723.86"/>
    <m/>
  </r>
  <r>
    <x v="37"/>
    <n v="428"/>
    <m/>
  </r>
  <r>
    <x v="38"/>
    <n v="659.5"/>
    <m/>
  </r>
  <r>
    <x v="39"/>
    <n v="374.5"/>
    <m/>
  </r>
  <r>
    <x v="40"/>
    <n v="398"/>
    <m/>
  </r>
  <r>
    <x v="41"/>
    <n v="516"/>
    <m/>
  </r>
  <r>
    <x v="42"/>
    <n v="297.5"/>
    <m/>
  </r>
  <r>
    <x v="43"/>
    <n v="604.5"/>
    <m/>
  </r>
  <r>
    <x v="44"/>
    <n v="440.5"/>
    <m/>
  </r>
  <r>
    <x v="45"/>
    <n v="822.88"/>
    <m/>
  </r>
  <r>
    <x v="46"/>
    <n v="1163.1599999999999"/>
    <m/>
  </r>
  <r>
    <x v="47"/>
    <n v="1188.8400000000001"/>
    <m/>
  </r>
  <r>
    <x v="48"/>
    <n v="933.7"/>
    <m/>
  </r>
  <r>
    <x v="49"/>
    <n v="1606.84"/>
    <m/>
  </r>
  <r>
    <x v="50"/>
    <n v="878.82"/>
    <m/>
  </r>
  <r>
    <x v="51"/>
    <n v="1019.66"/>
    <m/>
  </r>
  <r>
    <x v="52"/>
    <n v="197.22"/>
    <m/>
  </r>
  <r>
    <x v="53"/>
    <n v="58635.442499999997"/>
    <m/>
  </r>
  <r>
    <x v="54"/>
    <m/>
    <m/>
  </r>
  <r>
    <x v="54"/>
    <m/>
    <m/>
  </r>
  <r>
    <x v="54"/>
    <m/>
    <m/>
  </r>
  <r>
    <x v="54"/>
    <m/>
    <m/>
  </r>
  <r>
    <x v="54"/>
    <m/>
    <m/>
  </r>
  <r>
    <x v="54"/>
    <m/>
    <m/>
  </r>
  <r>
    <x v="54"/>
    <m/>
    <m/>
  </r>
  <r>
    <x v="54"/>
    <m/>
    <m/>
  </r>
  <r>
    <x v="54"/>
    <m/>
    <m/>
  </r>
  <r>
    <x v="5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9A99A8-B5B6-4F92-A744-964B124E57F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4:C79" firstHeaderRow="1" firstDataRow="1" firstDataCol="1"/>
  <pivotFields count="13">
    <pivotField axis="axisRow" outline="0" showAll="0" defaultSubtotal="0">
      <items count="54">
        <item x="36"/>
        <item x="37"/>
        <item x="38"/>
        <item x="39"/>
        <item x="40"/>
        <item x="41"/>
        <item x="42"/>
        <item x="43"/>
        <item x="44"/>
        <item x="45"/>
        <item x="46"/>
        <item x="47"/>
        <item x="48"/>
        <item x="49"/>
        <item x="50"/>
        <item x="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53"/>
        <item x="52"/>
      </items>
      <extLst>
        <ext xmlns:x14="http://schemas.microsoft.com/office/spreadsheetml/2009/9/main" uri="{2946ED86-A175-432a-8AC1-64E0C546D7DE}">
          <x14:pivotField fillDownLabels="1"/>
        </ext>
      </extLst>
    </pivotField>
    <pivotField showAll="0"/>
    <pivotField showAll="0"/>
    <pivotField outline="0" showAll="0" defaultSubtotal="0">
      <extLst>
        <ext xmlns:x14="http://schemas.microsoft.com/office/spreadsheetml/2009/9/main" uri="{2946ED86-A175-432a-8AC1-64E0C546D7DE}">
          <x14:pivotField fillDownLabels="1"/>
        </ext>
      </extLst>
    </pivotField>
    <pivotField showAll="0"/>
    <pivotField showAll="0"/>
    <pivotField showAll="0"/>
    <pivotField dataField="1" showAll="0"/>
    <pivotField showAll="0"/>
    <pivotField showAll="0"/>
    <pivotField showAll="0"/>
    <pivotField showAll="0"/>
    <pivotField showAll="0"/>
  </pivotFields>
  <rowFields count="1">
    <field x="0"/>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Items count="1">
    <i/>
  </colItems>
  <dataFields count="1">
    <dataField name="Sum of Net lbs" fld="7" baseField="0" baseItem="0"/>
  </dataFields>
  <formats count="4">
    <format dxfId="96">
      <pivotArea collapsedLevelsAreSubtotals="1" fieldPosition="0">
        <references count="1">
          <reference field="0" count="52">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95">
      <pivotArea collapsedLevelsAreSubtotals="1" fieldPosition="0">
        <references count="1">
          <reference field="0" count="52">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94">
      <pivotArea collapsedLevelsAreSubtotals="1" fieldPosition="0">
        <references count="1">
          <reference field="0" count="52">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reference>
        </references>
      </pivotArea>
    </format>
    <format dxfId="9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B435D31-A807-4AAD-A850-E6B183DB10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E21" firstHeaderRow="0" firstDataRow="1" firstDataCol="1"/>
  <pivotFields count="21">
    <pivotField showAll="0"/>
    <pivotField showAll="0"/>
    <pivotField showAll="0"/>
    <pivotField showAll="0"/>
    <pivotField axis="axisRow" dataField="1" showAll="0" sortType="descending">
      <items count="9">
        <item x="6"/>
        <item x="0"/>
        <item x="4"/>
        <item x="5"/>
        <item x="1"/>
        <item x="3"/>
        <item x="2"/>
        <item h="1" m="1" x="7"/>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4"/>
  </rowFields>
  <rowItems count="8">
    <i>
      <x v="1"/>
    </i>
    <i>
      <x v="3"/>
    </i>
    <i>
      <x v="2"/>
    </i>
    <i>
      <x v="4"/>
    </i>
    <i>
      <x v="5"/>
    </i>
    <i>
      <x v="6"/>
    </i>
    <i>
      <x/>
    </i>
    <i t="grand">
      <x/>
    </i>
  </rowItems>
  <colFields count="1">
    <field x="-2"/>
  </colFields>
  <colItems count="3">
    <i>
      <x/>
    </i>
    <i i="1">
      <x v="1"/>
    </i>
    <i i="2">
      <x v="2"/>
    </i>
  </colItems>
  <dataFields count="3">
    <dataField name=" Net lbs" fld="7" baseField="0" baseItem="0" numFmtId="1"/>
    <dataField name="# of Collections " fld="4" subtotal="count" baseField="0" baseItem="0"/>
    <dataField name="Avg per pickup" fld="7" subtotal="average" baseField="1" baseItem="2" numFmtId="1"/>
  </dataFields>
  <formats count="29">
    <format dxfId="125">
      <pivotArea collapsedLevelsAreSubtotals="1" fieldPosition="0">
        <references count="2">
          <reference field="4294967294" count="1" selected="0">
            <x v="2"/>
          </reference>
          <reference field="4" count="0"/>
        </references>
      </pivotArea>
    </format>
    <format dxfId="124">
      <pivotArea collapsedLevelsAreSubtotals="1" fieldPosition="0">
        <references count="2">
          <reference field="4294967294" count="1" selected="0">
            <x v="0"/>
          </reference>
          <reference field="4" count="1">
            <x v="2"/>
          </reference>
        </references>
      </pivotArea>
    </format>
    <format dxfId="123">
      <pivotArea field="4" grandRow="1" outline="0" collapsedLevelsAreSubtotals="1" axis="axisRow" fieldPosition="0">
        <references count="1">
          <reference field="4294967294" count="1" selected="0">
            <x v="2"/>
          </reference>
        </references>
      </pivotArea>
    </format>
    <format dxfId="122">
      <pivotArea outline="0" collapsedLevelsAreSubtotals="1" fieldPosition="0">
        <references count="1">
          <reference field="4294967294" count="1" selected="0">
            <x v="0"/>
          </reference>
        </references>
      </pivotArea>
    </format>
    <format dxfId="121">
      <pivotArea outline="0" collapsedLevelsAreSubtotals="1" fieldPosition="0">
        <references count="1">
          <reference field="4294967294" count="1" selected="0">
            <x v="2"/>
          </reference>
        </references>
      </pivotArea>
    </format>
    <format dxfId="120">
      <pivotArea type="all" dataOnly="0" outline="0" fieldPosition="0"/>
    </format>
    <format dxfId="119">
      <pivotArea outline="0" collapsedLevelsAreSubtotals="1" fieldPosition="0"/>
    </format>
    <format dxfId="118">
      <pivotArea dataOnly="0" labelOnly="1" fieldPosition="0">
        <references count="1">
          <reference field="4" count="0"/>
        </references>
      </pivotArea>
    </format>
    <format dxfId="117">
      <pivotArea type="all" dataOnly="0" outline="0" fieldPosition="0"/>
    </format>
    <format dxfId="116">
      <pivotArea outline="0" collapsedLevelsAreSubtotals="1" fieldPosition="0"/>
    </format>
    <format dxfId="115">
      <pivotArea dataOnly="0" labelOnly="1" fieldPosition="0">
        <references count="1">
          <reference field="4" count="0"/>
        </references>
      </pivotArea>
    </format>
    <format dxfId="114">
      <pivotArea outline="0" collapsedLevelsAreSubtotals="1" fieldPosition="0">
        <references count="1">
          <reference field="4294967294" count="1" selected="0">
            <x v="1"/>
          </reference>
        </references>
      </pivotArea>
    </format>
    <format dxfId="113">
      <pivotArea outline="0" collapsedLevelsAreSubtotals="1" fieldPosition="0">
        <references count="1">
          <reference field="4294967294" count="1" selected="0">
            <x v="2"/>
          </reference>
        </references>
      </pivotArea>
    </format>
    <format dxfId="112">
      <pivotArea type="all" dataOnly="0" outline="0" fieldPosition="0"/>
    </format>
    <format dxfId="111">
      <pivotArea outline="0" collapsedLevelsAreSubtotals="1" fieldPosition="0"/>
    </format>
    <format dxfId="110">
      <pivotArea field="4" type="button" dataOnly="0" labelOnly="1" outline="0" axis="axisRow" fieldPosition="0"/>
    </format>
    <format dxfId="109">
      <pivotArea dataOnly="0" labelOnly="1" fieldPosition="0">
        <references count="1">
          <reference field="4" count="0"/>
        </references>
      </pivotArea>
    </format>
    <format dxfId="108">
      <pivotArea dataOnly="0" labelOnly="1" grandRow="1" outline="0" fieldPosition="0"/>
    </format>
    <format dxfId="107">
      <pivotArea dataOnly="0" labelOnly="1" outline="0" fieldPosition="0">
        <references count="1">
          <reference field="4294967294" count="3">
            <x v="0"/>
            <x v="1"/>
            <x v="2"/>
          </reference>
        </references>
      </pivotArea>
    </format>
    <format dxfId="106">
      <pivotArea field="4" type="button" dataOnly="0" labelOnly="1" outline="0" axis="axisRow" fieldPosition="0"/>
    </format>
    <format dxfId="105">
      <pivotArea dataOnly="0" labelOnly="1" outline="0" fieldPosition="0">
        <references count="1">
          <reference field="4294967294" count="3">
            <x v="0"/>
            <x v="1"/>
            <x v="2"/>
          </reference>
        </references>
      </pivotArea>
    </format>
    <format dxfId="104">
      <pivotArea grandRow="1" outline="0" collapsedLevelsAreSubtotals="1" fieldPosition="0"/>
    </format>
    <format dxfId="103">
      <pivotArea dataOnly="0" labelOnly="1" grandRow="1" outline="0" fieldPosition="0"/>
    </format>
    <format dxfId="102">
      <pivotArea collapsedLevelsAreSubtotals="1" fieldPosition="0">
        <references count="1">
          <reference field="4" count="0"/>
        </references>
      </pivotArea>
    </format>
    <format dxfId="101">
      <pivotArea dataOnly="0" labelOnly="1" fieldPosition="0">
        <references count="1">
          <reference field="4" count="0"/>
        </references>
      </pivotArea>
    </format>
    <format dxfId="100">
      <pivotArea grandRow="1" outline="0" collapsedLevelsAreSubtotals="1" fieldPosition="0"/>
    </format>
    <format dxfId="99">
      <pivotArea grandRow="1" outline="0" collapsedLevelsAreSubtotals="1" fieldPosition="0"/>
    </format>
    <format dxfId="98">
      <pivotArea outline="0" collapsedLevelsAreSubtotals="1" fieldPosition="0">
        <references count="1">
          <reference field="4294967294" count="1" selected="0">
            <x v="0"/>
          </reference>
        </references>
      </pivotArea>
    </format>
    <format dxfId="97">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3A408F-5A3A-4171-800C-6B24D065B38A}"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H4:K14" firstHeaderRow="0" firstDataRow="1" firstDataCol="1"/>
  <pivotFields count="21">
    <pivotField compact="0" outline="0" showAll="0"/>
    <pivotField compact="0" outline="0" showAll="0"/>
    <pivotField compact="0" outline="0" showAll="0"/>
    <pivotField axis="axisRow" compact="0" outline="0" showAll="0" measureFilter="1" sortType="descending" defaultSubtotal="0">
      <items count="2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2"/>
        <item x="131"/>
        <item x="133"/>
        <item x="135"/>
        <item x="136"/>
        <item x="137"/>
        <item x="138"/>
        <item x="134"/>
        <item x="139"/>
        <item x="141"/>
        <item x="140"/>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3"/>
        <item x="172"/>
        <item x="174"/>
        <item x="175"/>
        <item x="176"/>
        <item x="177"/>
        <item x="178"/>
        <item x="179"/>
        <item x="180"/>
        <item x="181"/>
        <item x="182"/>
        <item x="183"/>
        <item x="184"/>
        <item x="185"/>
        <item x="186"/>
        <item x="187"/>
        <item x="188"/>
        <item x="189"/>
        <item m="1" x="223"/>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s>
      <autoSortScope>
        <pivotArea dataOnly="0" outline="0" fieldPosition="0">
          <references count="1">
            <reference field="4294967294" count="1" selected="0">
              <x v="0"/>
            </reference>
          </references>
        </pivotArea>
      </autoSortScope>
    </pivotField>
    <pivotField compact="0" outline="0" showAll="0" sortType="descending" defaultSubtotal="0">
      <items count="8">
        <item x="6"/>
        <item x="0"/>
        <item x="4"/>
        <item x="5"/>
        <item x="1"/>
        <item x="3"/>
        <item x="2"/>
        <item m="1" x="7"/>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pivotField dataField="1" compact="0" outline="0" showAll="0" defaultSubtotal="0"/>
    <pivotField dataField="1" compact="0" outline="0" showAll="0" defaultSubtotal="0"/>
    <pivotField compact="0" outline="0" showAll="0" defaultSubtotal="0"/>
    <pivotField compact="0" outline="0" showAll="0" defaultSubtotal="0"/>
    <pivotField dataField="1"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compact="0" outline="0" showAll="0"/>
  </pivotFields>
  <rowFields count="1">
    <field x="3"/>
  </rowFields>
  <rowItems count="10">
    <i>
      <x v="218"/>
    </i>
    <i>
      <x v="67"/>
    </i>
    <i>
      <x v="172"/>
    </i>
    <i>
      <x v="174"/>
    </i>
    <i>
      <x v="214"/>
    </i>
    <i>
      <x v="151"/>
    </i>
    <i>
      <x v="177"/>
    </i>
    <i>
      <x v="223"/>
    </i>
    <i>
      <x v="209"/>
    </i>
    <i>
      <x v="144"/>
    </i>
  </rowItems>
  <colFields count="1">
    <field x="-2"/>
  </colFields>
  <colItems count="3">
    <i>
      <x/>
    </i>
    <i i="1">
      <x v="1"/>
    </i>
    <i i="2">
      <x v="2"/>
    </i>
  </colItems>
  <dataFields count="3">
    <dataField name="Total Collected lbs" fld="7" subtotal="max" baseField="1" baseItem="2" numFmtId="1"/>
    <dataField name="Avg lbs per day since prev collection" fld="11" subtotal="max" baseField="1" baseItem="2" numFmtId="1"/>
    <dataField name="# of Days between collections " fld="8" subtotal="max" baseField="1" baseItem="2"/>
  </dataFields>
  <formats count="30">
    <format dxfId="155">
      <pivotArea dataOnly="0" labelOnly="1" outline="0" fieldPosition="0">
        <references count="1">
          <reference field="3" count="0"/>
        </references>
      </pivotArea>
    </format>
    <format dxfId="154">
      <pivotArea dataOnly="0" labelOnly="1" grandRow="1" outline="0" fieldPosition="0"/>
    </format>
    <format dxfId="153">
      <pivotArea outline="0" collapsedLevelsAreSubtotals="1" fieldPosition="0"/>
    </format>
    <format dxfId="152">
      <pivotArea dataOnly="0" labelOnly="1" outline="0" axis="axisValues" fieldPosition="0"/>
    </format>
    <format dxfId="151">
      <pivotArea type="all" dataOnly="0" outline="0" fieldPosition="0"/>
    </format>
    <format dxfId="150">
      <pivotArea outline="0" collapsedLevelsAreSubtotals="1" fieldPosition="0"/>
    </format>
    <format dxfId="149">
      <pivotArea field="3" type="button" dataOnly="0" labelOnly="1" outline="0" axis="axisRow" fieldPosition="0"/>
    </format>
    <format dxfId="148">
      <pivotArea field="4" type="button" dataOnly="0" labelOnly="1" outline="0"/>
    </format>
    <format dxfId="147">
      <pivotArea dataOnly="0" labelOnly="1" outline="0" fieldPosition="0">
        <references count="1">
          <reference field="3" count="0"/>
        </references>
      </pivotArea>
    </format>
    <format dxfId="146">
      <pivotArea dataOnly="0" labelOnly="1" outline="0" fieldPosition="0">
        <references count="1">
          <reference field="4294967294" count="3">
            <x v="0"/>
            <x v="1"/>
            <x v="2"/>
          </reference>
        </references>
      </pivotArea>
    </format>
    <format dxfId="145">
      <pivotArea field="3" type="button" dataOnly="0" labelOnly="1" outline="0" axis="axisRow" fieldPosition="0"/>
    </format>
    <format dxfId="144">
      <pivotArea field="4" type="button" dataOnly="0" labelOnly="1" outline="0"/>
    </format>
    <format dxfId="143">
      <pivotArea dataOnly="0" labelOnly="1" outline="0" fieldPosition="0">
        <references count="1">
          <reference field="4294967294" count="3">
            <x v="0"/>
            <x v="1"/>
            <x v="2"/>
          </reference>
        </references>
      </pivotArea>
    </format>
    <format dxfId="142">
      <pivotArea outline="0" collapsedLevelsAreSubtotals="1" fieldPosition="0"/>
    </format>
    <format dxfId="141">
      <pivotArea dataOnly="0" labelOnly="1" outline="0" fieldPosition="0">
        <references count="1">
          <reference field="3" count="0"/>
        </references>
      </pivotArea>
    </format>
    <format dxfId="140">
      <pivotArea grandRow="1" outline="0" collapsedLevelsAreSubtotals="1" fieldPosition="0"/>
    </format>
    <format dxfId="139">
      <pivotArea dataOnly="0" labelOnly="1" grandRow="1" outline="0" fieldPosition="0"/>
    </format>
    <format dxfId="138">
      <pivotArea field="3" grandRow="1" outline="0" axis="axisRow" fieldPosition="0">
        <references count="1">
          <reference field="4294967294" count="1" selected="0">
            <x v="2"/>
          </reference>
        </references>
      </pivotArea>
    </format>
    <format dxfId="137">
      <pivotArea dataOnly="0" labelOnly="1" outline="0" fieldPosition="0">
        <references count="1">
          <reference field="3" count="0"/>
        </references>
      </pivotArea>
    </format>
    <format dxfId="136">
      <pivotArea field="3" type="button" dataOnly="0" labelOnly="1" outline="0" axis="axisRow" fieldPosition="0"/>
    </format>
    <format dxfId="135">
      <pivotArea field="4" type="button" dataOnly="0" labelOnly="1" outline="0"/>
    </format>
    <format dxfId="134">
      <pivotArea dataOnly="0" labelOnly="1" outline="0" fieldPosition="0">
        <references count="1">
          <reference field="4294967294" count="3">
            <x v="0"/>
            <x v="1"/>
            <x v="2"/>
          </reference>
        </references>
      </pivotArea>
    </format>
    <format dxfId="133">
      <pivotArea dataOnly="0" labelOnly="1" outline="0" fieldPosition="0">
        <references count="1">
          <reference field="3" count="0"/>
        </references>
      </pivotArea>
    </format>
    <format dxfId="132">
      <pivotArea outline="0" fieldPosition="0">
        <references count="1">
          <reference field="4294967294" count="1" selected="0">
            <x v="1"/>
          </reference>
        </references>
      </pivotArea>
    </format>
    <format dxfId="131">
      <pivotArea outline="0" fieldPosition="0">
        <references count="1">
          <reference field="4294967294" count="1" selected="0">
            <x v="0"/>
          </reference>
        </references>
      </pivotArea>
    </format>
    <format dxfId="130">
      <pivotArea dataOnly="0" labelOnly="1" outline="0" fieldPosition="0">
        <references count="1">
          <reference field="3" count="10">
            <x v="67"/>
            <x v="82"/>
            <x v="105"/>
            <x v="107"/>
            <x v="116"/>
            <x v="123"/>
            <x v="124"/>
            <x v="125"/>
            <x v="126"/>
            <x v="128"/>
          </reference>
        </references>
      </pivotArea>
    </format>
    <format dxfId="129">
      <pivotArea dataOnly="0" labelOnly="1" outline="0" fieldPosition="0">
        <references count="1">
          <reference field="3" count="11">
            <x v="67"/>
            <x v="82"/>
            <x v="105"/>
            <x v="107"/>
            <x v="116"/>
            <x v="123"/>
            <x v="124"/>
            <x v="126"/>
            <x v="128"/>
            <x v="130"/>
            <x v="131"/>
          </reference>
        </references>
      </pivotArea>
    </format>
    <format dxfId="128">
      <pivotArea dataOnly="0" labelOnly="1" outline="0" fieldPosition="0">
        <references count="1">
          <reference field="3" count="10">
            <x v="67"/>
            <x v="82"/>
            <x v="116"/>
            <x v="123"/>
            <x v="126"/>
            <x v="128"/>
            <x v="130"/>
            <x v="131"/>
            <x v="134"/>
            <x v="136"/>
          </reference>
        </references>
      </pivotArea>
    </format>
    <format dxfId="127">
      <pivotArea dataOnly="0" labelOnly="1" outline="0" fieldPosition="0">
        <references count="1">
          <reference field="3" count="10">
            <x v="67"/>
            <x v="82"/>
            <x v="116"/>
            <x v="123"/>
            <x v="126"/>
            <x v="130"/>
            <x v="131"/>
            <x v="134"/>
            <x v="136"/>
            <x v="139"/>
          </reference>
        </references>
      </pivotArea>
    </format>
    <format dxfId="126">
      <pivotArea dataOnly="0" labelOnly="1" outline="0" fieldPosition="0">
        <references count="1">
          <reference field="3" count="10">
            <x v="67"/>
            <x v="130"/>
            <x v="131"/>
            <x v="136"/>
            <x v="144"/>
            <x v="151"/>
            <x v="172"/>
            <x v="174"/>
            <x v="177"/>
            <x v="180"/>
          </reference>
        </references>
      </pivotArea>
    </format>
  </formats>
  <conditionalFormats count="1">
    <conditionalFormat type="all" priority="2">
      <pivotAreas count="1">
        <pivotArea type="data" outline="0" collapsedLevelsAreSubtotals="1" fieldPosition="0">
          <references count="1">
            <reference field="4294967294" count="1" selected="0">
              <x v="1"/>
            </reference>
          </references>
        </pivotArea>
      </pivotAreas>
    </conditionalFormat>
  </conditional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8B3596-C07F-4770-A828-74628214C2D1}" name="PivotTable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5:N6" firstHeaderRow="1" firstDataRow="1" firstDataCol="0"/>
  <pivotFields count="21">
    <pivotField showAll="0"/>
    <pivotField showAll="0"/>
    <pivotField showAll="0"/>
    <pivotField outline="0" showAll="0" defaultSubtota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s>
  <rowItems count="1">
    <i/>
  </rowItems>
  <colItems count="1">
    <i/>
  </colItems>
  <dataFields count="1">
    <dataField name=" Net lbs" fld="7" baseField="0" baseItem="0" numFmtId="1"/>
  </dataFields>
  <formats count="17">
    <format dxfId="172">
      <pivotArea outline="0" collapsedLevelsAreSubtotals="1" fieldPosition="0">
        <references count="1">
          <reference field="4294967294" count="1" selected="0">
            <x v="0"/>
          </reference>
        </references>
      </pivotArea>
    </format>
    <format dxfId="171">
      <pivotArea type="all" dataOnly="0" outline="0" fieldPosition="0"/>
    </format>
    <format dxfId="170">
      <pivotArea outline="0" collapsedLevelsAreSubtotals="1" fieldPosition="0"/>
    </format>
    <format dxfId="169">
      <pivotArea dataOnly="0" labelOnly="1" grandRow="1" outline="0" fieldPosition="0"/>
    </format>
    <format dxfId="168">
      <pivotArea dataOnly="0" labelOnly="1" outline="0" fieldPosition="0">
        <references count="1">
          <reference field="4294967294" count="1">
            <x v="0"/>
          </reference>
        </references>
      </pivotArea>
    </format>
    <format dxfId="167">
      <pivotArea dataOnly="0" labelOnly="1" outline="0" fieldPosition="0">
        <references count="1">
          <reference field="4294967294" count="1">
            <x v="0"/>
          </reference>
        </references>
      </pivotArea>
    </format>
    <format dxfId="166">
      <pivotArea grandRow="1" outline="0" collapsedLevelsAreSubtotals="1" fieldPosition="0"/>
    </format>
    <format dxfId="165">
      <pivotArea dataOnly="0" labelOnly="1" grandRow="1" outline="0" fieldPosition="0"/>
    </format>
    <format dxfId="164">
      <pivotArea grandRow="1" outline="0" collapsedLevelsAreSubtotals="1" fieldPosition="0"/>
    </format>
    <format dxfId="163">
      <pivotArea grandRow="1" outline="0" collapsedLevelsAreSubtotals="1" fieldPosition="0"/>
    </format>
    <format dxfId="162">
      <pivotArea outline="0" collapsedLevelsAreSubtotals="1" fieldPosition="0">
        <references count="1">
          <reference field="4294967294" count="1" selected="0">
            <x v="0"/>
          </reference>
        </references>
      </pivotArea>
    </format>
    <format dxfId="161">
      <pivotArea dataOnly="0" labelOnly="1" outline="0" fieldPosition="0">
        <references count="1">
          <reference field="4294967294" count="1">
            <x v="0"/>
          </reference>
        </references>
      </pivotArea>
    </format>
    <format dxfId="160">
      <pivotArea grandRow="1" outline="0" collapsedLevelsAreSubtotals="1" fieldPosition="0"/>
    </format>
    <format dxfId="159">
      <pivotArea dataOnly="0" labelOnly="1" grandRow="1" outline="0" fieldPosition="0"/>
    </format>
    <format dxfId="158">
      <pivotArea type="origin" dataOnly="0" labelOnly="1" outline="0" fieldPosition="0"/>
    </format>
    <format dxfId="157">
      <pivotArea type="topRight" dataOnly="0" labelOnly="1" outline="0" fieldPosition="0"/>
    </format>
    <format dxfId="156">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7D0420-4E2F-4E48-8B71-137BD89159AC}" name="PivotTable2"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C8" firstHeaderRow="1" firstDataRow="1" firstDataCol="1"/>
  <pivotFields count="21">
    <pivotField showAll="0"/>
    <pivotField showAll="0"/>
    <pivotField showAll="0"/>
    <pivotField dataField="1"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numFmtId="164" showAll="0"/>
    <pivotField showAll="0"/>
    <pivotField showAll="0"/>
  </pivotFields>
  <rowFields count="1">
    <field x="-2"/>
  </rowFields>
  <rowItems count="4">
    <i>
      <x/>
    </i>
    <i i="1">
      <x v="1"/>
    </i>
    <i i="2">
      <x v="2"/>
    </i>
    <i i="3">
      <x v="3"/>
    </i>
  </rowItems>
  <colItems count="1">
    <i/>
  </colItems>
  <dataFields count="4">
    <dataField name="Total Coffee Grounds Collected" fld="7" baseField="0" baseItem="0"/>
    <dataField name="Number of Collections" fld="3" subtotal="count" baseField="0" baseItem="0"/>
    <dataField name="Avg # of Days between collections" fld="8" subtotal="average" baseField="0" baseItem="9"/>
    <dataField name="Avg lbs per collection" fld="7" subtotal="average" baseField="0" baseItem="9"/>
  </dataFields>
  <formats count="37">
    <format dxfId="209">
      <pivotArea outline="0" collapsedLevelsAreSubtotals="1" fieldPosition="0"/>
    </format>
    <format dxfId="208">
      <pivotArea collapsedLevelsAreSubtotals="1" fieldPosition="0">
        <references count="1">
          <reference field="4294967294" count="1">
            <x v="0"/>
          </reference>
        </references>
      </pivotArea>
    </format>
    <format dxfId="207">
      <pivotArea type="all" dataOnly="0" outline="0" fieldPosition="0"/>
    </format>
    <format dxfId="206">
      <pivotArea outline="0" collapsedLevelsAreSubtotals="1" fieldPosition="0"/>
    </format>
    <format dxfId="205">
      <pivotArea field="-2" type="button" dataOnly="0" labelOnly="1" outline="0" axis="axisRow" fieldPosition="0"/>
    </format>
    <format dxfId="204">
      <pivotArea dataOnly="0" labelOnly="1" outline="0" fieldPosition="0">
        <references count="1">
          <reference field="4294967294" count="3">
            <x v="0"/>
            <x v="2"/>
            <x v="3"/>
          </reference>
        </references>
      </pivotArea>
    </format>
    <format dxfId="203">
      <pivotArea dataOnly="0" labelOnly="1" grandCol="1" outline="0" axis="axisCol" fieldPosition="0"/>
    </format>
    <format dxfId="202">
      <pivotArea field="-2" type="button" dataOnly="0" labelOnly="1" outline="0" axis="axisRow" fieldPosition="0"/>
    </format>
    <format dxfId="201">
      <pivotArea dataOnly="0" labelOnly="1" grandCol="1" outline="0" axis="axisCol" fieldPosition="0"/>
    </format>
    <format dxfId="200">
      <pivotArea outline="0" collapsedLevelsAreSubtotals="1" fieldPosition="0"/>
    </format>
    <format dxfId="199">
      <pivotArea type="all" dataOnly="0" outline="0" fieldPosition="0"/>
    </format>
    <format dxfId="198">
      <pivotArea outline="0" collapsedLevelsAreSubtotals="1" fieldPosition="0"/>
    </format>
    <format dxfId="197">
      <pivotArea field="-2" type="button" dataOnly="0" labelOnly="1" outline="0" axis="axisRow" fieldPosition="0"/>
    </format>
    <format dxfId="196">
      <pivotArea dataOnly="0" labelOnly="1" outline="0" fieldPosition="0">
        <references count="1">
          <reference field="4294967294" count="3">
            <x v="0"/>
            <x v="2"/>
            <x v="3"/>
          </reference>
        </references>
      </pivotArea>
    </format>
    <format dxfId="195">
      <pivotArea dataOnly="0" labelOnly="1" grandCol="1" outline="0" axis="axisCol" fieldPosition="0"/>
    </format>
    <format dxfId="194">
      <pivotArea type="all" dataOnly="0" outline="0" fieldPosition="0"/>
    </format>
    <format dxfId="193">
      <pivotArea outline="0" collapsedLevelsAreSubtotals="1" fieldPosition="0"/>
    </format>
    <format dxfId="192">
      <pivotArea field="-2" type="button" dataOnly="0" labelOnly="1" outline="0" axis="axisRow" fieldPosition="0"/>
    </format>
    <format dxfId="191">
      <pivotArea dataOnly="0" labelOnly="1" outline="0" fieldPosition="0">
        <references count="1">
          <reference field="4294967294" count="3">
            <x v="0"/>
            <x v="2"/>
            <x v="3"/>
          </reference>
        </references>
      </pivotArea>
    </format>
    <format dxfId="190">
      <pivotArea dataOnly="0" labelOnly="1" grandCol="1" outline="0" axis="axisCol" fieldPosition="0"/>
    </format>
    <format dxfId="189">
      <pivotArea type="all" dataOnly="0" outline="0" fieldPosition="0"/>
    </format>
    <format dxfId="188">
      <pivotArea outline="0" collapsedLevelsAreSubtotals="1" fieldPosition="0"/>
    </format>
    <format dxfId="187">
      <pivotArea field="-2" type="button" dataOnly="0" labelOnly="1" outline="0" axis="axisRow" fieldPosition="0"/>
    </format>
    <format dxfId="186">
      <pivotArea dataOnly="0" labelOnly="1" outline="0" fieldPosition="0">
        <references count="1">
          <reference field="4294967294" count="3">
            <x v="0"/>
            <x v="2"/>
            <x v="3"/>
          </reference>
        </references>
      </pivotArea>
    </format>
    <format dxfId="185">
      <pivotArea dataOnly="0" labelOnly="1" grandCol="1" outline="0" axis="axisCol" fieldPosition="0"/>
    </format>
    <format dxfId="184">
      <pivotArea field="-2" type="button" dataOnly="0" labelOnly="1" outline="0" axis="axisRow" fieldPosition="0"/>
    </format>
    <format dxfId="183">
      <pivotArea dataOnly="0" labelOnly="1" grandCol="1" outline="0" axis="axisCol" fieldPosition="0"/>
    </format>
    <format dxfId="182">
      <pivotArea field="-2" type="button" dataOnly="0" labelOnly="1" outline="0" axis="axisRow" fieldPosition="0"/>
    </format>
    <format dxfId="181">
      <pivotArea dataOnly="0" labelOnly="1" grandCol="1" outline="0" axis="axisCol" fieldPosition="0"/>
    </format>
    <format dxfId="180">
      <pivotArea type="all" dataOnly="0" outline="0" fieldPosition="0"/>
    </format>
    <format dxfId="179">
      <pivotArea outline="0" collapsedLevelsAreSubtotals="1" fieldPosition="0"/>
    </format>
    <format dxfId="178">
      <pivotArea field="-2" type="button" dataOnly="0" labelOnly="1" outline="0" axis="axisRow" fieldPosition="0"/>
    </format>
    <format dxfId="177">
      <pivotArea dataOnly="0" labelOnly="1" outline="0" fieldPosition="0">
        <references count="1">
          <reference field="4294967294" count="3">
            <x v="0"/>
            <x v="2"/>
            <x v="3"/>
          </reference>
        </references>
      </pivotArea>
    </format>
    <format dxfId="176">
      <pivotArea dataOnly="0" labelOnly="1" grandCol="1" outline="0" axis="axisCol" fieldPosition="0"/>
    </format>
    <format dxfId="175">
      <pivotArea outline="0" collapsedLevelsAreSubtotals="1" fieldPosition="0"/>
    </format>
    <format dxfId="174">
      <pivotArea dataOnly="0" labelOnly="1" grandCol="1" outline="0" axis="axisCol" fieldPosition="0"/>
    </format>
    <format dxfId="173">
      <pivotArea collapsedLevelsAreSubtotals="1" fieldPosition="0">
        <references count="1">
          <reference field="4294967294" count="1">
            <x v="1"/>
          </reference>
        </references>
      </pivotArea>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A1D6EC-853F-4ECB-A40E-4448143CB25C}"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D229" firstHeaderRow="1" firstDataRow="1" firstDataCol="1"/>
  <pivotFields count="14">
    <pivotField showAll="0"/>
    <pivotField showAll="0"/>
    <pivotField showAll="0"/>
    <pivotField axis="axisRow" showAll="0">
      <items count="2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223"/>
        <item x="129"/>
        <item x="130"/>
        <item x="132"/>
        <item x="131"/>
        <item x="133"/>
        <item x="135"/>
        <item x="136"/>
        <item x="137"/>
        <item x="138"/>
        <item x="134"/>
        <item x="139"/>
        <item x="141"/>
        <item x="140"/>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m="1" x="224"/>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t="default"/>
      </items>
    </pivotField>
    <pivotField showAll="0"/>
    <pivotField showAll="0"/>
    <pivotField showAll="0"/>
    <pivotField showAll="0"/>
    <pivotField showAll="0"/>
    <pivotField showAll="0"/>
    <pivotField showAll="0"/>
    <pivotField showAll="0"/>
    <pivotField showAll="0"/>
    <pivotField dataField="1" showAll="0"/>
  </pivotFields>
  <rowFields count="1">
    <field x="3"/>
  </rowFields>
  <rowItems count="2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t="grand">
      <x/>
    </i>
  </rowItems>
  <colItems count="1">
    <i/>
  </colItems>
  <dataFields count="1">
    <dataField name="Sum of Master Gardener" fld="13" baseField="0" baseItem="0"/>
  </dataFields>
  <formats count="66">
    <format dxfId="92">
      <pivotArea grandRow="1" outline="0" collapsedLevelsAreSubtotals="1" fieldPosition="0"/>
    </format>
    <format dxfId="91">
      <pivotArea grandRow="1" outline="0" collapsedLevelsAreSubtotals="1" fieldPosition="0"/>
    </format>
    <format dxfId="90">
      <pivotArea dataOnly="0" labelOnly="1" grandRow="1" outline="0" fieldPosition="0"/>
    </format>
    <format dxfId="89">
      <pivotArea dataOnly="0" labelOnly="1" fieldPosition="0">
        <references count="1">
          <reference field="3" count="1">
            <x v="111"/>
          </reference>
        </references>
      </pivotArea>
    </format>
    <format dxfId="88">
      <pivotArea dataOnly="0" labelOnly="1" fieldPosition="0">
        <references count="1">
          <reference field="3" count="1">
            <x v="123"/>
          </reference>
        </references>
      </pivotArea>
    </format>
    <format dxfId="87">
      <pivotArea dataOnly="0" labelOnly="1" fieldPosition="0">
        <references count="1">
          <reference field="3" count="1">
            <x v="126"/>
          </reference>
        </references>
      </pivotArea>
    </format>
    <format dxfId="86">
      <pivotArea dataOnly="0" labelOnly="1" fieldPosition="0">
        <references count="1">
          <reference field="3" count="1">
            <x v="128"/>
          </reference>
        </references>
      </pivotArea>
    </format>
    <format dxfId="85">
      <pivotArea collapsedLevelsAreSubtotals="1" fieldPosition="0">
        <references count="1">
          <reference field="3" count="1">
            <x v="111"/>
          </reference>
        </references>
      </pivotArea>
    </format>
    <format dxfId="84">
      <pivotArea collapsedLevelsAreSubtotals="1" fieldPosition="0">
        <references count="1">
          <reference field="3" count="1">
            <x v="123"/>
          </reference>
        </references>
      </pivotArea>
    </format>
    <format dxfId="83">
      <pivotArea collapsedLevelsAreSubtotals="1" fieldPosition="0">
        <references count="1">
          <reference field="3" count="1">
            <x v="126"/>
          </reference>
        </references>
      </pivotArea>
    </format>
    <format dxfId="82">
      <pivotArea collapsedLevelsAreSubtotals="1" fieldPosition="0">
        <references count="1">
          <reference field="3" count="1">
            <x v="128"/>
          </reference>
        </references>
      </pivotArea>
    </format>
    <format dxfId="81">
      <pivotArea grandRow="1" outline="0" collapsedLevelsAreSubtotals="1" fieldPosition="0"/>
    </format>
    <format dxfId="80">
      <pivotArea collapsedLevelsAreSubtotals="1" fieldPosition="0">
        <references count="1">
          <reference field="3" count="14">
            <x v="142"/>
            <x v="143"/>
            <x v="144"/>
            <x v="145"/>
            <x v="146"/>
            <x v="147"/>
            <x v="148"/>
            <x v="149"/>
            <x v="150"/>
            <x v="151"/>
            <x v="152"/>
            <x v="153"/>
            <x v="154"/>
            <x v="155"/>
          </reference>
        </references>
      </pivotArea>
    </format>
    <format dxfId="79">
      <pivotArea collapsedLevelsAreSubtotals="1" fieldPosition="0">
        <references count="1">
          <reference field="3" count="1">
            <x v="111"/>
          </reference>
        </references>
      </pivotArea>
    </format>
    <format dxfId="78">
      <pivotArea collapsedLevelsAreSubtotals="1" fieldPosition="0">
        <references count="1">
          <reference field="3" count="1">
            <x v="123"/>
          </reference>
        </references>
      </pivotArea>
    </format>
    <format dxfId="77">
      <pivotArea collapsedLevelsAreSubtotals="1" fieldPosition="0">
        <references count="1">
          <reference field="3" count="1">
            <x v="126"/>
          </reference>
        </references>
      </pivotArea>
    </format>
    <format dxfId="76">
      <pivotArea collapsedLevelsAreSubtotals="1" fieldPosition="0">
        <references count="1">
          <reference field="3" count="1">
            <x v="128"/>
          </reference>
        </references>
      </pivotArea>
    </format>
    <format dxfId="75">
      <pivotArea collapsedLevelsAreSubtotals="1" fieldPosition="0">
        <references count="1">
          <reference field="3" count="1">
            <x v="133"/>
          </reference>
        </references>
      </pivotArea>
    </format>
    <format dxfId="74">
      <pivotArea collapsedLevelsAreSubtotals="1" fieldPosition="0">
        <references count="1">
          <reference field="3" count="1">
            <x v="143"/>
          </reference>
        </references>
      </pivotArea>
    </format>
    <format dxfId="73">
      <pivotArea collapsedLevelsAreSubtotals="1" fieldPosition="0">
        <references count="1">
          <reference field="3" count="1">
            <x v="148"/>
          </reference>
        </references>
      </pivotArea>
    </format>
    <format dxfId="72">
      <pivotArea collapsedLevelsAreSubtotals="1" fieldPosition="0">
        <references count="1">
          <reference field="3" count="1">
            <x v="151"/>
          </reference>
        </references>
      </pivotArea>
    </format>
    <format dxfId="71">
      <pivotArea collapsedLevelsAreSubtotals="1" fieldPosition="0">
        <references count="1">
          <reference field="3" count="1">
            <x v="154"/>
          </reference>
        </references>
      </pivotArea>
    </format>
    <format dxfId="70">
      <pivotArea collapsedLevelsAreSubtotals="1" fieldPosition="0">
        <references count="1">
          <reference field="3" count="1">
            <x v="111"/>
          </reference>
        </references>
      </pivotArea>
    </format>
    <format dxfId="69">
      <pivotArea collapsedLevelsAreSubtotals="1" fieldPosition="0">
        <references count="1">
          <reference field="3" count="1">
            <x v="123"/>
          </reference>
        </references>
      </pivotArea>
    </format>
    <format dxfId="68">
      <pivotArea collapsedLevelsAreSubtotals="1" fieldPosition="0">
        <references count="1">
          <reference field="3" count="1">
            <x v="126"/>
          </reference>
        </references>
      </pivotArea>
    </format>
    <format dxfId="67">
      <pivotArea collapsedLevelsAreSubtotals="1" fieldPosition="0">
        <references count="1">
          <reference field="3" count="1">
            <x v="128"/>
          </reference>
        </references>
      </pivotArea>
    </format>
    <format dxfId="66">
      <pivotArea collapsedLevelsAreSubtotals="1" fieldPosition="0">
        <references count="1">
          <reference field="3" count="1">
            <x v="133"/>
          </reference>
        </references>
      </pivotArea>
    </format>
    <format dxfId="65">
      <pivotArea collapsedLevelsAreSubtotals="1" fieldPosition="0">
        <references count="1">
          <reference field="3" count="1">
            <x v="143"/>
          </reference>
        </references>
      </pivotArea>
    </format>
    <format dxfId="64">
      <pivotArea collapsedLevelsAreSubtotals="1" fieldPosition="0">
        <references count="1">
          <reference field="3" count="1">
            <x v="148"/>
          </reference>
        </references>
      </pivotArea>
    </format>
    <format dxfId="63">
      <pivotArea collapsedLevelsAreSubtotals="1" fieldPosition="0">
        <references count="1">
          <reference field="3" count="1">
            <x v="151"/>
          </reference>
        </references>
      </pivotArea>
    </format>
    <format dxfId="62">
      <pivotArea collapsedLevelsAreSubtotals="1" fieldPosition="0">
        <references count="1">
          <reference field="3" count="1">
            <x v="154"/>
          </reference>
        </references>
      </pivotArea>
    </format>
    <format dxfId="61">
      <pivotArea collapsedLevelsAreSubtotals="1" fieldPosition="0">
        <references count="1">
          <reference field="3" count="1">
            <x v="111"/>
          </reference>
        </references>
      </pivotArea>
    </format>
    <format dxfId="60">
      <pivotArea collapsedLevelsAreSubtotals="1" fieldPosition="0">
        <references count="1">
          <reference field="3" count="1">
            <x v="123"/>
          </reference>
        </references>
      </pivotArea>
    </format>
    <format dxfId="59">
      <pivotArea collapsedLevelsAreSubtotals="1" fieldPosition="0">
        <references count="1">
          <reference field="3" count="1">
            <x v="126"/>
          </reference>
        </references>
      </pivotArea>
    </format>
    <format dxfId="58">
      <pivotArea collapsedLevelsAreSubtotals="1" fieldPosition="0">
        <references count="1">
          <reference field="3" count="1">
            <x v="128"/>
          </reference>
        </references>
      </pivotArea>
    </format>
    <format dxfId="57">
      <pivotArea collapsedLevelsAreSubtotals="1" fieldPosition="0">
        <references count="1">
          <reference field="3" count="1">
            <x v="133"/>
          </reference>
        </references>
      </pivotArea>
    </format>
    <format dxfId="56">
      <pivotArea collapsedLevelsAreSubtotals="1" fieldPosition="0">
        <references count="1">
          <reference field="3" count="1">
            <x v="143"/>
          </reference>
        </references>
      </pivotArea>
    </format>
    <format dxfId="55">
      <pivotArea collapsedLevelsAreSubtotals="1" fieldPosition="0">
        <references count="1">
          <reference field="3" count="1">
            <x v="148"/>
          </reference>
        </references>
      </pivotArea>
    </format>
    <format dxfId="54">
      <pivotArea collapsedLevelsAreSubtotals="1" fieldPosition="0">
        <references count="1">
          <reference field="3" count="1">
            <x v="151"/>
          </reference>
        </references>
      </pivotArea>
    </format>
    <format dxfId="53">
      <pivotArea collapsedLevelsAreSubtotals="1" fieldPosition="0">
        <references count="1">
          <reference field="3" count="1">
            <x v="154"/>
          </reference>
        </references>
      </pivotArea>
    </format>
    <format dxfId="52">
      <pivotArea collapsedLevelsAreSubtotals="1" fieldPosition="0">
        <references count="1">
          <reference field="3" count="35">
            <x v="156"/>
            <x v="157"/>
            <x v="158"/>
            <x v="159"/>
            <x v="160"/>
            <x v="161"/>
            <x v="162"/>
            <x v="163"/>
            <x v="164"/>
            <x v="165"/>
            <x v="166"/>
            <x v="167"/>
            <x v="168"/>
            <x v="169"/>
            <x v="170"/>
            <x v="171"/>
            <x v="172"/>
            <x v="173"/>
            <x v="174"/>
            <x v="175"/>
            <x v="176"/>
            <x v="177"/>
            <x v="178"/>
            <x v="179"/>
            <x v="180"/>
            <x v="181"/>
            <x v="182"/>
            <x v="183"/>
            <x v="184"/>
            <x v="185"/>
            <x v="186"/>
            <x v="187"/>
            <x v="188"/>
            <x v="189"/>
            <x v="190"/>
          </reference>
        </references>
      </pivotArea>
    </format>
    <format dxfId="51">
      <pivotArea grandRow="1" outline="0" collapsedLevelsAreSubtotals="1" fieldPosition="0"/>
    </format>
    <format dxfId="50">
      <pivotArea collapsedLevelsAreSubtotals="1" fieldPosition="0">
        <references count="1">
          <reference field="3" count="35">
            <x v="156"/>
            <x v="157"/>
            <x v="158"/>
            <x v="159"/>
            <x v="160"/>
            <x v="161"/>
            <x v="162"/>
            <x v="163"/>
            <x v="164"/>
            <x v="165"/>
            <x v="166"/>
            <x v="167"/>
            <x v="168"/>
            <x v="169"/>
            <x v="170"/>
            <x v="171"/>
            <x v="172"/>
            <x v="173"/>
            <x v="174"/>
            <x v="175"/>
            <x v="176"/>
            <x v="177"/>
            <x v="178"/>
            <x v="179"/>
            <x v="180"/>
            <x v="181"/>
            <x v="182"/>
            <x v="183"/>
            <x v="184"/>
            <x v="185"/>
            <x v="186"/>
            <x v="187"/>
            <x v="188"/>
            <x v="189"/>
            <x v="190"/>
          </reference>
        </references>
      </pivotArea>
    </format>
    <format dxfId="49">
      <pivotArea collapsedLevelsAreSubtotals="1" fieldPosition="0">
        <references count="1">
          <reference field="3" count="1">
            <x v="111"/>
          </reference>
        </references>
      </pivotArea>
    </format>
    <format dxfId="48">
      <pivotArea collapsedLevelsAreSubtotals="1" fieldPosition="0">
        <references count="1">
          <reference field="3" count="1">
            <x v="123"/>
          </reference>
        </references>
      </pivotArea>
    </format>
    <format dxfId="47">
      <pivotArea collapsedLevelsAreSubtotals="1" fieldPosition="0">
        <references count="1">
          <reference field="3" count="1">
            <x v="126"/>
          </reference>
        </references>
      </pivotArea>
    </format>
    <format dxfId="46">
      <pivotArea collapsedLevelsAreSubtotals="1" fieldPosition="0">
        <references count="1">
          <reference field="3" count="1">
            <x v="128"/>
          </reference>
        </references>
      </pivotArea>
    </format>
    <format dxfId="45">
      <pivotArea collapsedLevelsAreSubtotals="1" fieldPosition="0">
        <references count="1">
          <reference field="3" count="1">
            <x v="133"/>
          </reference>
        </references>
      </pivotArea>
    </format>
    <format dxfId="44">
      <pivotArea collapsedLevelsAreSubtotals="1" fieldPosition="0">
        <references count="1">
          <reference field="3" count="1">
            <x v="143"/>
          </reference>
        </references>
      </pivotArea>
    </format>
    <format dxfId="43">
      <pivotArea collapsedLevelsAreSubtotals="1" fieldPosition="0">
        <references count="1">
          <reference field="3" count="1">
            <x v="148"/>
          </reference>
        </references>
      </pivotArea>
    </format>
    <format dxfId="42">
      <pivotArea collapsedLevelsAreSubtotals="1" fieldPosition="0">
        <references count="1">
          <reference field="3" count="1">
            <x v="151"/>
          </reference>
        </references>
      </pivotArea>
    </format>
    <format dxfId="41">
      <pivotArea collapsedLevelsAreSubtotals="1" fieldPosition="0">
        <references count="1">
          <reference field="3" count="1">
            <x v="154"/>
          </reference>
        </references>
      </pivotArea>
    </format>
    <format dxfId="40">
      <pivotArea collapsedLevelsAreSubtotals="1" fieldPosition="0">
        <references count="1">
          <reference field="3" count="1">
            <x v="186"/>
          </reference>
        </references>
      </pivotArea>
    </format>
    <format dxfId="39">
      <pivotArea collapsedLevelsAreSubtotals="1" fieldPosition="0">
        <references count="1">
          <reference field="3" count="2">
            <x v="189"/>
            <x v="190"/>
          </reference>
        </references>
      </pivotArea>
    </format>
    <format dxfId="38">
      <pivotArea collapsedLevelsAreSubtotals="1" fieldPosition="0">
        <references count="1">
          <reference field="3" count="1">
            <x v="111"/>
          </reference>
        </references>
      </pivotArea>
    </format>
    <format dxfId="37">
      <pivotArea collapsedLevelsAreSubtotals="1" fieldPosition="0">
        <references count="1">
          <reference field="3" count="1">
            <x v="123"/>
          </reference>
        </references>
      </pivotArea>
    </format>
    <format dxfId="36">
      <pivotArea collapsedLevelsAreSubtotals="1" fieldPosition="0">
        <references count="1">
          <reference field="3" count="1">
            <x v="126"/>
          </reference>
        </references>
      </pivotArea>
    </format>
    <format dxfId="35">
      <pivotArea collapsedLevelsAreSubtotals="1" fieldPosition="0">
        <references count="1">
          <reference field="3" count="1">
            <x v="128"/>
          </reference>
        </references>
      </pivotArea>
    </format>
    <format dxfId="34">
      <pivotArea collapsedLevelsAreSubtotals="1" fieldPosition="0">
        <references count="1">
          <reference field="3" count="1">
            <x v="133"/>
          </reference>
        </references>
      </pivotArea>
    </format>
    <format dxfId="33">
      <pivotArea collapsedLevelsAreSubtotals="1" fieldPosition="0">
        <references count="1">
          <reference field="3" count="1">
            <x v="143"/>
          </reference>
        </references>
      </pivotArea>
    </format>
    <format dxfId="32">
      <pivotArea collapsedLevelsAreSubtotals="1" fieldPosition="0">
        <references count="1">
          <reference field="3" count="1">
            <x v="148"/>
          </reference>
        </references>
      </pivotArea>
    </format>
    <format dxfId="31">
      <pivotArea collapsedLevelsAreSubtotals="1" fieldPosition="0">
        <references count="1">
          <reference field="3" count="1">
            <x v="151"/>
          </reference>
        </references>
      </pivotArea>
    </format>
    <format dxfId="30">
      <pivotArea collapsedLevelsAreSubtotals="1" fieldPosition="0">
        <references count="1">
          <reference field="3" count="1">
            <x v="154"/>
          </reference>
        </references>
      </pivotArea>
    </format>
    <format dxfId="29">
      <pivotArea collapsedLevelsAreSubtotals="1" fieldPosition="0">
        <references count="1">
          <reference field="3" count="1">
            <x v="186"/>
          </reference>
        </references>
      </pivotArea>
    </format>
    <format dxfId="28">
      <pivotArea collapsedLevelsAreSubtotals="1" fieldPosition="0">
        <references count="1">
          <reference field="3" count="2">
            <x v="189"/>
            <x v="190"/>
          </reference>
        </references>
      </pivotArea>
    </format>
    <format dxfId="27">
      <pivotArea collapsedLevelsAreSubtotals="1" fieldPosition="0">
        <references count="1">
          <reference field="3" count="22">
            <x v="203"/>
            <x v="204"/>
            <x v="205"/>
            <x v="206"/>
            <x v="207"/>
            <x v="208"/>
            <x v="209"/>
            <x v="210"/>
            <x v="211"/>
            <x v="212"/>
            <x v="213"/>
            <x v="214"/>
            <x v="215"/>
            <x v="216"/>
            <x v="217"/>
            <x v="218"/>
            <x v="219"/>
            <x v="220"/>
            <x v="221"/>
            <x v="222"/>
            <x v="223"/>
            <x v="2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663AF94-7578-4921-9423-969C07501F3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7" firstHeaderRow="1" firstDataRow="1" firstDataCol="1"/>
  <pivotFields count="13">
    <pivotField axis="axisRow" outline="0" showAll="0" defaultSubtotal="0">
      <items count="53">
        <item x="36"/>
        <item x="37"/>
        <item x="38"/>
        <item x="39"/>
        <item x="40"/>
        <item x="41"/>
        <item x="42"/>
        <item x="43"/>
        <item x="44"/>
        <item x="45"/>
        <item x="46"/>
        <item x="47"/>
        <item x="48"/>
        <item x="49"/>
        <item x="50"/>
        <item x="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52"/>
      </items>
    </pivotField>
    <pivotField showAll="0"/>
    <pivotField showAll="0"/>
    <pivotField outline="0" showAll="0" defaultSubtotal="0">
      <extLst>
        <ext xmlns:x14="http://schemas.microsoft.com/office/spreadsheetml/2009/9/main" uri="{2946ED86-A175-432a-8AC1-64E0C546D7DE}">
          <x14:pivotField fillDownLabels="1"/>
        </ext>
      </extLst>
    </pivotField>
    <pivotField showAll="0"/>
    <pivotField showAll="0"/>
    <pivotField showAll="0"/>
    <pivotField dataField="1" showAll="0"/>
    <pivotField showAll="0"/>
    <pivotField showAll="0"/>
    <pivotField showAll="0"/>
    <pivotField showAll="0"/>
    <pivotField showAll="0"/>
  </pivotFields>
  <rowFields count="1">
    <field x="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Net lbs " fld="7" baseField="0" baseItem="16" numFmtId="1"/>
  </dataFields>
  <formats count="2">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D35DCE3-3014-4F91-A77E-366EA16EED26}"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J59" firstHeaderRow="0" firstDataRow="1" firstDataCol="1"/>
  <pivotFields count="3">
    <pivotField axis="axisRow" showAll="0">
      <items count="58">
        <item m="1" x="55"/>
        <item m="1" x="56"/>
        <item x="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dataField="1" numFmtId="1" showAll="0"/>
    <pivotField showAll="0"/>
  </pivotFields>
  <rowFields count="1">
    <field x="0"/>
  </rowFields>
  <rowItems count="56">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t="grand">
      <x/>
    </i>
  </rowItems>
  <colFields count="1">
    <field x="-2"/>
  </colFields>
  <colItems count="4">
    <i>
      <x/>
    </i>
    <i i="1">
      <x v="1"/>
    </i>
    <i i="2">
      <x v="2"/>
    </i>
    <i i="3">
      <x v="3"/>
    </i>
  </colItems>
  <dataFields count="4">
    <dataField name="Average of Net lbs " fld="1" subtotal="average" baseField="0" baseItem="0"/>
    <dataField name="StdDev of Net lbs " fld="1" subtotal="stdDev" baseField="0" baseItem="1"/>
    <dataField name="Max of Net lbs " fld="1" subtotal="max" baseField="0" baseItem="0"/>
    <dataField name="Min of Net lbs " fld="1" subtotal="min" baseField="0" baseItem="0"/>
  </dataFields>
  <formats count="2">
    <format dxfId="26">
      <pivotArea outline="0" collapsedLevelsAreSubtotals="1" fieldPosition="0"/>
    </format>
    <format dxfId="25">
      <pivotArea field="0" type="button" dataOnly="0" labelOnly="1" outline="0" axis="axisRow"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9BE495-A3DB-49DD-9E59-2757D5366302}" name="Table1" displayName="Table1" ref="A1:U298" totalsRowShown="0" headerRowDxfId="236">
  <autoFilter ref="A1:U298" xr:uid="{069BE495-A3DB-49DD-9E59-2757D5366302}"/>
  <sortState xmlns:xlrd2="http://schemas.microsoft.com/office/spreadsheetml/2017/richdata2" ref="A2:S203">
    <sortCondition ref="D1:D203"/>
  </sortState>
  <tableColumns count="21">
    <tableColumn id="1" xr3:uid="{E98027F0-6FF2-4456-AFA6-3E32D4128D5D}" name="Week #"/>
    <tableColumn id="2" xr3:uid="{C28E0433-BFF6-488C-A306-31218F24E2EA}" name="SBUX FY Week #"/>
    <tableColumn id="3" xr3:uid="{AA4FDF65-6052-4D82-98EE-4F137F43D0FD}" name="FY Week # Helper"/>
    <tableColumn id="4" xr3:uid="{01800BFA-8F34-4B06-B1B0-10A883C3F939}" name="Date" dataDxfId="235" totalsRowDxfId="234"/>
    <tableColumn id="5" xr3:uid="{08AA9B3A-3CC8-480D-AF51-3621077AC0F3}" name="Day of the week"/>
    <tableColumn id="6" xr3:uid="{B60E0D2D-3A22-4461-AF6B-11107ED4A9B2}" name="Store"/>
    <tableColumn id="7" xr3:uid="{B455A3B7-B14F-4508-ADBE-72864D890EF3}" name="SCG mass lbs" dataDxfId="233" totalsRowDxfId="232"/>
    <tableColumn id="8" xr3:uid="{57346C4A-0BB2-47BB-A02F-84C75F97A048}" name="Net lbs" dataDxfId="231" totalsRowDxfId="230"/>
    <tableColumn id="9" xr3:uid="{69D9DB53-709C-40BB-B981-407AC1ECECD3}" name="# of Days between collections" dataDxfId="229" totalsRowDxfId="228"/>
    <tableColumn id="10" xr3:uid="{B7F63967-7192-48B0-8AC1-424024963691}" name="Days Since 1st Collection" dataDxfId="227" totalsRowDxfId="226"/>
    <tableColumn id="11" xr3:uid="{B28EC125-5205-404B-B015-202EE87A6590}" name="Who initiated pickup?"/>
    <tableColumn id="12" xr3:uid="{57C95A8A-0315-477F-94FE-039683D59B58}" name="Per Day (lbs)"/>
    <tableColumn id="13" xr3:uid="{72442A51-6B49-4F22-A81A-1F277A6AF34C}" name="Running Total" dataDxfId="225" totalsRowDxfId="224"/>
    <tableColumn id="21" xr3:uid="{D650C836-C19A-4D17-95CE-C37BA1A05D8D}" name="Master Gardener" dataDxfId="223" totalsRowDxfId="222"/>
    <tableColumn id="20" xr3:uid="{D78D281F-CBDC-4CDF-A617-6DD6CA7D992A}" name="MG Deposit Date" dataDxfId="221"/>
    <tableColumn id="14" xr3:uid="{C45508BA-D8C8-4E38-9138-00557E98C04F}" name="Cardboard (lbs)" dataDxfId="220" totalsRowDxfId="219"/>
    <tableColumn id="15" xr3:uid="{6C0ED09A-F41D-4ABD-9312-E453A6475940}" name="Food Waste (lbs)" dataDxfId="218" totalsRowDxfId="217"/>
    <tableColumn id="16" xr3:uid="{D01F85FF-3909-45F1-9AB3-0992E7AD5121}" name="Route" dataDxfId="216" totalsRowDxfId="215"/>
    <tableColumn id="17" xr3:uid="{431C2F28-1118-4799-9602-CB688066A489}" name="Miles Driven" dataDxfId="214">
      <calculatedColumnFormula>VLOOKUP(Table1[[#This Row],[Route]],'Dropdown Lists'!$M$2:$N$7,2,FALSE)</calculatedColumnFormula>
    </tableColumn>
    <tableColumn id="19" xr3:uid="{52435B17-6259-4E1E-8500-DE338A8A3D24}" name="Truck Odometer" dataDxfId="213"/>
    <tableColumn id="18" xr3:uid="{8454DEBB-54CD-466E-9CF2-F177B6AB4AB1}" name="Notes" dataDxfId="212" totalsRowDxfId="2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2.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3183-5629-4F46-A95A-6961B320F040}">
  <dimension ref="A1:U298"/>
  <sheetViews>
    <sheetView tabSelected="1" workbookViewId="0">
      <pane ySplit="1" topLeftCell="A266" activePane="bottomLeft" state="frozen"/>
      <selection activeCell="G23" sqref="G23"/>
      <selection pane="bottomLeft" activeCell="S299" sqref="S299"/>
    </sheetView>
  </sheetViews>
  <sheetFormatPr defaultRowHeight="14.25" x14ac:dyDescent="0.45"/>
  <cols>
    <col min="1" max="1" width="9.1328125" customWidth="1"/>
    <col min="2" max="3" width="10.3984375" hidden="1" customWidth="1"/>
    <col min="4" max="4" width="10.19921875" style="7" customWidth="1"/>
    <col min="5" max="5" width="9.33203125" customWidth="1"/>
    <col min="6" max="6" width="32.1328125" customWidth="1"/>
    <col min="7" max="7" width="12" style="2" customWidth="1"/>
    <col min="8" max="8" width="12.3984375" style="2" customWidth="1"/>
    <col min="9" max="9" width="14.265625" style="2" customWidth="1"/>
    <col min="10" max="10" width="14.53125" style="2" customWidth="1"/>
    <col min="11" max="11" width="11.19921875" customWidth="1"/>
    <col min="12" max="12" width="13.1328125" customWidth="1"/>
    <col min="13" max="13" width="14.1328125" style="29" customWidth="1"/>
    <col min="14" max="14" width="10.59765625" style="24" customWidth="1"/>
    <col min="15" max="15" width="10.59765625" style="56" customWidth="1"/>
    <col min="16" max="17" width="10.59765625" style="2" customWidth="1"/>
    <col min="18" max="18" width="24.86328125" bestFit="1" customWidth="1"/>
    <col min="20" max="20" width="11" bestFit="1" customWidth="1"/>
    <col min="21" max="21" width="33.796875" style="39" bestFit="1" customWidth="1"/>
  </cols>
  <sheetData>
    <row r="1" spans="1:21" s="4" customFormat="1" ht="45.75" customHeight="1" x14ac:dyDescent="0.45">
      <c r="A1" s="4" t="s">
        <v>0</v>
      </c>
      <c r="B1" s="4" t="s">
        <v>1</v>
      </c>
      <c r="C1" s="4" t="s">
        <v>2</v>
      </c>
      <c r="D1" s="9" t="s">
        <v>3</v>
      </c>
      <c r="E1" s="4" t="s">
        <v>4</v>
      </c>
      <c r="F1" s="4" t="s">
        <v>5</v>
      </c>
      <c r="G1" s="45" t="s">
        <v>6</v>
      </c>
      <c r="H1" s="5" t="s">
        <v>7</v>
      </c>
      <c r="I1" s="5" t="s">
        <v>8</v>
      </c>
      <c r="J1" s="5" t="s">
        <v>9</v>
      </c>
      <c r="K1" s="4" t="s">
        <v>10</v>
      </c>
      <c r="L1" s="4" t="s">
        <v>11</v>
      </c>
      <c r="M1" s="30" t="s">
        <v>12</v>
      </c>
      <c r="N1" s="37" t="s">
        <v>13</v>
      </c>
      <c r="O1" s="55" t="s">
        <v>109</v>
      </c>
      <c r="P1" s="5" t="s">
        <v>14</v>
      </c>
      <c r="Q1" s="5" t="s">
        <v>15</v>
      </c>
      <c r="R1" s="4" t="s">
        <v>79</v>
      </c>
      <c r="S1" s="4" t="s">
        <v>78</v>
      </c>
      <c r="T1" s="4" t="s">
        <v>106</v>
      </c>
      <c r="U1" s="52" t="s">
        <v>88</v>
      </c>
    </row>
    <row r="2" spans="1:21" x14ac:dyDescent="0.45">
      <c r="A2">
        <f t="shared" ref="A2:A65" si="0">WEEKNUM(D2,1)</f>
        <v>17</v>
      </c>
      <c r="B2">
        <f t="shared" ref="B2:B47" si="1">WEEKNUM(C2,1)</f>
        <v>30</v>
      </c>
      <c r="C2" s="1">
        <f t="shared" ref="C2:C47" si="2">D2+92</f>
        <v>45132</v>
      </c>
      <c r="D2" s="10">
        <v>45040</v>
      </c>
      <c r="E2" s="1" t="str">
        <f t="shared" ref="E2:E65" si="3">TEXT(D2,"dddd")</f>
        <v>Monday</v>
      </c>
      <c r="F2" t="s">
        <v>16</v>
      </c>
      <c r="G2" s="6">
        <v>59.6</v>
      </c>
      <c r="H2" s="47">
        <f t="shared" ref="H2:H65" si="4">G2-8</f>
        <v>51.6</v>
      </c>
      <c r="I2" s="24"/>
      <c r="J2" s="2">
        <v>0</v>
      </c>
      <c r="K2" t="s">
        <v>18</v>
      </c>
      <c r="L2" s="6">
        <f>H2/1</f>
        <v>51.6</v>
      </c>
      <c r="M2" s="24">
        <f>SUM(H$2:H2)</f>
        <v>51.6</v>
      </c>
      <c r="N2" s="24">
        <v>0</v>
      </c>
      <c r="P2" s="24">
        <v>0</v>
      </c>
      <c r="Q2" s="24">
        <v>0</v>
      </c>
      <c r="R2" t="s">
        <v>80</v>
      </c>
      <c r="S2" s="6">
        <f>VLOOKUP(Table1[[#This Row],[Route]],'Dropdown Lists'!$M$2:$N$7,2,FALSE)</f>
        <v>11.4</v>
      </c>
      <c r="T2" s="6"/>
      <c r="U2" s="51"/>
    </row>
    <row r="3" spans="1:21" x14ac:dyDescent="0.45">
      <c r="A3">
        <f t="shared" si="0"/>
        <v>17</v>
      </c>
      <c r="B3">
        <f t="shared" si="1"/>
        <v>30</v>
      </c>
      <c r="C3" s="1">
        <f t="shared" si="2"/>
        <v>45135</v>
      </c>
      <c r="D3" s="10">
        <v>45043</v>
      </c>
      <c r="E3" s="1" t="str">
        <f t="shared" si="3"/>
        <v>Thursday</v>
      </c>
      <c r="F3" t="s">
        <v>16</v>
      </c>
      <c r="G3" s="6">
        <v>97.1</v>
      </c>
      <c r="H3" s="47">
        <f t="shared" si="4"/>
        <v>89.1</v>
      </c>
      <c r="I3" s="24">
        <f t="shared" ref="I3:I34" si="5">IF(D3-D2&lt;0, 0, D3-D2)</f>
        <v>3</v>
      </c>
      <c r="J3" s="2">
        <f t="shared" ref="J3:J66" si="6">D3-$D$2</f>
        <v>3</v>
      </c>
      <c r="K3" t="s">
        <v>5</v>
      </c>
      <c r="L3" s="6">
        <f t="shared" ref="L3:L66" si="7">H3/I3</f>
        <v>29.7</v>
      </c>
      <c r="M3" s="24">
        <f>SUM(H$2:H3)</f>
        <v>140.69999999999999</v>
      </c>
      <c r="N3" s="24">
        <v>0</v>
      </c>
      <c r="P3" s="24">
        <v>0</v>
      </c>
      <c r="Q3" s="24">
        <v>0</v>
      </c>
      <c r="R3" t="s">
        <v>81</v>
      </c>
      <c r="S3" s="6">
        <f>VLOOKUP(Table1[[#This Row],[Route]],'Dropdown Lists'!$M$2:$N$7,2,FALSE)</f>
        <v>13.5</v>
      </c>
      <c r="T3" s="6"/>
      <c r="U3" s="51"/>
    </row>
    <row r="4" spans="1:21" x14ac:dyDescent="0.45">
      <c r="A4">
        <f t="shared" si="0"/>
        <v>18</v>
      </c>
      <c r="B4">
        <f t="shared" si="1"/>
        <v>31</v>
      </c>
      <c r="C4" s="1">
        <f t="shared" si="2"/>
        <v>45142</v>
      </c>
      <c r="D4" s="10">
        <v>45050</v>
      </c>
      <c r="E4" s="1" t="str">
        <f t="shared" si="3"/>
        <v>Thursday</v>
      </c>
      <c r="F4" t="s">
        <v>16</v>
      </c>
      <c r="G4" s="6">
        <v>141.30000000000001</v>
      </c>
      <c r="H4" s="47">
        <f t="shared" si="4"/>
        <v>133.30000000000001</v>
      </c>
      <c r="I4" s="24">
        <f t="shared" si="5"/>
        <v>7</v>
      </c>
      <c r="J4" s="2">
        <f t="shared" si="6"/>
        <v>10</v>
      </c>
      <c r="K4" t="s">
        <v>5</v>
      </c>
      <c r="L4" s="6">
        <f t="shared" si="7"/>
        <v>19.042857142857144</v>
      </c>
      <c r="M4" s="24">
        <f>SUM(H$2:H4)</f>
        <v>274</v>
      </c>
      <c r="N4" s="24">
        <v>0</v>
      </c>
      <c r="P4" s="24">
        <v>0</v>
      </c>
      <c r="Q4" s="24">
        <v>0</v>
      </c>
      <c r="R4" t="s">
        <v>81</v>
      </c>
      <c r="S4" s="6">
        <f>VLOOKUP(Table1[[#This Row],[Route]],'Dropdown Lists'!$M$2:$N$7,2,FALSE)</f>
        <v>13.5</v>
      </c>
      <c r="T4" s="6"/>
      <c r="U4" s="51"/>
    </row>
    <row r="5" spans="1:21" x14ac:dyDescent="0.45">
      <c r="A5">
        <f t="shared" si="0"/>
        <v>18</v>
      </c>
      <c r="B5">
        <f t="shared" si="1"/>
        <v>32</v>
      </c>
      <c r="C5" s="1">
        <f t="shared" si="2"/>
        <v>45144</v>
      </c>
      <c r="D5" s="10">
        <v>45052</v>
      </c>
      <c r="E5" s="1" t="str">
        <f t="shared" si="3"/>
        <v>Saturday</v>
      </c>
      <c r="F5" t="s">
        <v>16</v>
      </c>
      <c r="G5" s="6">
        <v>70.599999999999994</v>
      </c>
      <c r="H5" s="47">
        <f t="shared" si="4"/>
        <v>62.599999999999994</v>
      </c>
      <c r="I5" s="24">
        <f t="shared" si="5"/>
        <v>2</v>
      </c>
      <c r="J5" s="2">
        <f t="shared" si="6"/>
        <v>12</v>
      </c>
      <c r="K5" t="s">
        <v>5</v>
      </c>
      <c r="L5" s="6">
        <f t="shared" si="7"/>
        <v>31.299999999999997</v>
      </c>
      <c r="M5" s="24">
        <f>SUM(H$2:H5)</f>
        <v>336.6</v>
      </c>
      <c r="N5" s="24">
        <v>0</v>
      </c>
      <c r="P5" s="24">
        <v>0</v>
      </c>
      <c r="Q5" s="24">
        <v>0</v>
      </c>
      <c r="R5" t="s">
        <v>80</v>
      </c>
      <c r="S5" s="6">
        <f>VLOOKUP(Table1[[#This Row],[Route]],'Dropdown Lists'!$M$2:$N$7,2,FALSE)</f>
        <v>11.4</v>
      </c>
      <c r="T5" s="6"/>
      <c r="U5" s="51"/>
    </row>
    <row r="6" spans="1:21" x14ac:dyDescent="0.45">
      <c r="A6">
        <f t="shared" si="0"/>
        <v>19</v>
      </c>
      <c r="B6">
        <f t="shared" si="1"/>
        <v>32</v>
      </c>
      <c r="C6" s="1">
        <f t="shared" si="2"/>
        <v>45150</v>
      </c>
      <c r="D6" s="10">
        <v>45058</v>
      </c>
      <c r="E6" s="1" t="str">
        <f t="shared" si="3"/>
        <v>Friday</v>
      </c>
      <c r="F6" t="s">
        <v>16</v>
      </c>
      <c r="G6" s="6">
        <v>136.4</v>
      </c>
      <c r="H6" s="47">
        <f t="shared" si="4"/>
        <v>128.4</v>
      </c>
      <c r="I6" s="24">
        <f t="shared" si="5"/>
        <v>6</v>
      </c>
      <c r="J6" s="2">
        <f t="shared" si="6"/>
        <v>18</v>
      </c>
      <c r="K6" t="s">
        <v>5</v>
      </c>
      <c r="L6" s="6">
        <f t="shared" si="7"/>
        <v>21.400000000000002</v>
      </c>
      <c r="M6" s="24">
        <f>SUM(H$2:H6)</f>
        <v>465</v>
      </c>
      <c r="N6" s="24">
        <v>0</v>
      </c>
      <c r="P6" s="24">
        <v>0</v>
      </c>
      <c r="Q6" s="24">
        <v>0</v>
      </c>
      <c r="R6" t="s">
        <v>81</v>
      </c>
      <c r="S6" s="6">
        <f>VLOOKUP(Table1[[#This Row],[Route]],'Dropdown Lists'!$M$2:$N$7,2,FALSE)</f>
        <v>13.5</v>
      </c>
      <c r="T6" s="6"/>
      <c r="U6" s="51"/>
    </row>
    <row r="7" spans="1:21" x14ac:dyDescent="0.45">
      <c r="A7">
        <f t="shared" si="0"/>
        <v>20</v>
      </c>
      <c r="B7">
        <f t="shared" si="1"/>
        <v>33</v>
      </c>
      <c r="C7" s="1">
        <f t="shared" si="2"/>
        <v>45153</v>
      </c>
      <c r="D7" s="10">
        <v>45061</v>
      </c>
      <c r="E7" s="1" t="str">
        <f t="shared" si="3"/>
        <v>Monday</v>
      </c>
      <c r="F7" t="s">
        <v>16</v>
      </c>
      <c r="G7" s="6">
        <v>79.5</v>
      </c>
      <c r="H7" s="47">
        <f t="shared" si="4"/>
        <v>71.5</v>
      </c>
      <c r="I7" s="24">
        <f t="shared" si="5"/>
        <v>3</v>
      </c>
      <c r="J7" s="2">
        <f t="shared" si="6"/>
        <v>21</v>
      </c>
      <c r="K7" t="s">
        <v>18</v>
      </c>
      <c r="L7" s="6">
        <f t="shared" si="7"/>
        <v>23.833333333333332</v>
      </c>
      <c r="M7" s="24">
        <f>SUM(H$2:H7)</f>
        <v>536.5</v>
      </c>
      <c r="N7" s="24">
        <v>0</v>
      </c>
      <c r="P7" s="24">
        <v>0</v>
      </c>
      <c r="Q7" s="24">
        <v>0</v>
      </c>
      <c r="R7" t="s">
        <v>81</v>
      </c>
      <c r="S7" s="6">
        <f>VLOOKUP(Table1[[#This Row],[Route]],'Dropdown Lists'!$M$2:$N$7,2,FALSE)</f>
        <v>13.5</v>
      </c>
      <c r="T7" s="6"/>
      <c r="U7" s="51"/>
    </row>
    <row r="8" spans="1:21" x14ac:dyDescent="0.45">
      <c r="A8">
        <f t="shared" si="0"/>
        <v>20</v>
      </c>
      <c r="B8">
        <f t="shared" si="1"/>
        <v>34</v>
      </c>
      <c r="C8" s="1">
        <f t="shared" si="2"/>
        <v>45158</v>
      </c>
      <c r="D8" s="10">
        <v>45066</v>
      </c>
      <c r="E8" s="1" t="str">
        <f t="shared" si="3"/>
        <v>Saturday</v>
      </c>
      <c r="F8" t="s">
        <v>16</v>
      </c>
      <c r="G8" s="6">
        <v>104.1</v>
      </c>
      <c r="H8" s="47">
        <f t="shared" si="4"/>
        <v>96.1</v>
      </c>
      <c r="I8" s="24">
        <f t="shared" si="5"/>
        <v>5</v>
      </c>
      <c r="J8" s="2">
        <f t="shared" si="6"/>
        <v>26</v>
      </c>
      <c r="K8" t="s">
        <v>5</v>
      </c>
      <c r="L8" s="6">
        <f t="shared" si="7"/>
        <v>19.22</v>
      </c>
      <c r="M8" s="24">
        <f>SUM(H$2:H8)</f>
        <v>632.6</v>
      </c>
      <c r="N8" s="24">
        <v>0</v>
      </c>
      <c r="P8" s="24">
        <v>0</v>
      </c>
      <c r="Q8" s="24">
        <v>0</v>
      </c>
      <c r="R8" t="s">
        <v>80</v>
      </c>
      <c r="S8" s="6">
        <f>VLOOKUP(Table1[[#This Row],[Route]],'Dropdown Lists'!$M$2:$N$7,2,FALSE)</f>
        <v>11.4</v>
      </c>
      <c r="T8" s="6"/>
      <c r="U8" s="51"/>
    </row>
    <row r="9" spans="1:21" x14ac:dyDescent="0.45">
      <c r="A9">
        <f t="shared" si="0"/>
        <v>21</v>
      </c>
      <c r="B9">
        <f t="shared" si="1"/>
        <v>34</v>
      </c>
      <c r="C9" s="1">
        <f t="shared" si="2"/>
        <v>45161</v>
      </c>
      <c r="D9" s="10">
        <v>45069</v>
      </c>
      <c r="E9" s="1" t="str">
        <f t="shared" si="3"/>
        <v>Tuesday</v>
      </c>
      <c r="F9" t="s">
        <v>16</v>
      </c>
      <c r="G9" s="6">
        <v>165.2</v>
      </c>
      <c r="H9" s="47">
        <f t="shared" si="4"/>
        <v>157.19999999999999</v>
      </c>
      <c r="I9" s="24">
        <f t="shared" si="5"/>
        <v>3</v>
      </c>
      <c r="J9" s="2">
        <f t="shared" si="6"/>
        <v>29</v>
      </c>
      <c r="K9" t="s">
        <v>5</v>
      </c>
      <c r="L9" s="6">
        <f t="shared" si="7"/>
        <v>52.4</v>
      </c>
      <c r="M9" s="24">
        <f>SUM(H$2:H9)</f>
        <v>789.8</v>
      </c>
      <c r="N9" s="24">
        <v>0</v>
      </c>
      <c r="P9" s="24">
        <v>0</v>
      </c>
      <c r="Q9" s="24">
        <v>0</v>
      </c>
      <c r="R9" t="s">
        <v>81</v>
      </c>
      <c r="S9" s="6">
        <f>VLOOKUP(Table1[[#This Row],[Route]],'Dropdown Lists'!$M$2:$N$7,2,FALSE)</f>
        <v>13.5</v>
      </c>
      <c r="T9" s="6"/>
      <c r="U9" s="51"/>
    </row>
    <row r="10" spans="1:21" x14ac:dyDescent="0.45">
      <c r="A10">
        <f t="shared" si="0"/>
        <v>21</v>
      </c>
      <c r="B10">
        <f t="shared" si="1"/>
        <v>34</v>
      </c>
      <c r="C10" s="1">
        <f t="shared" si="2"/>
        <v>45164</v>
      </c>
      <c r="D10" s="10">
        <v>45072</v>
      </c>
      <c r="E10" s="1" t="str">
        <f t="shared" si="3"/>
        <v>Friday</v>
      </c>
      <c r="F10" t="s">
        <v>16</v>
      </c>
      <c r="G10" s="6">
        <v>166.5</v>
      </c>
      <c r="H10" s="47">
        <f t="shared" si="4"/>
        <v>158.5</v>
      </c>
      <c r="I10" s="24">
        <f t="shared" si="5"/>
        <v>3</v>
      </c>
      <c r="J10" s="2">
        <f t="shared" si="6"/>
        <v>32</v>
      </c>
      <c r="K10" t="s">
        <v>5</v>
      </c>
      <c r="L10" s="6">
        <f t="shared" si="7"/>
        <v>52.833333333333336</v>
      </c>
      <c r="M10" s="24">
        <f>SUM(H$2:H10)</f>
        <v>948.3</v>
      </c>
      <c r="N10" s="24">
        <v>0</v>
      </c>
      <c r="P10" s="24">
        <v>0</v>
      </c>
      <c r="Q10" s="24">
        <v>0</v>
      </c>
      <c r="R10" t="s">
        <v>80</v>
      </c>
      <c r="S10" s="6">
        <f>VLOOKUP(Table1[[#This Row],[Route]],'Dropdown Lists'!$M$2:$N$7,2,FALSE)</f>
        <v>11.4</v>
      </c>
      <c r="T10" s="6"/>
      <c r="U10" s="51"/>
    </row>
    <row r="11" spans="1:21" x14ac:dyDescent="0.45">
      <c r="A11">
        <f t="shared" si="0"/>
        <v>22</v>
      </c>
      <c r="B11">
        <f t="shared" si="1"/>
        <v>35</v>
      </c>
      <c r="C11" s="1">
        <f t="shared" si="2"/>
        <v>45169</v>
      </c>
      <c r="D11" s="10">
        <v>45077</v>
      </c>
      <c r="E11" s="1" t="str">
        <f t="shared" si="3"/>
        <v>Wednesday</v>
      </c>
      <c r="F11" t="s">
        <v>16</v>
      </c>
      <c r="G11" s="6">
        <v>127.6</v>
      </c>
      <c r="H11" s="47">
        <f t="shared" si="4"/>
        <v>119.6</v>
      </c>
      <c r="I11" s="24">
        <f t="shared" si="5"/>
        <v>5</v>
      </c>
      <c r="J11" s="2">
        <f t="shared" si="6"/>
        <v>37</v>
      </c>
      <c r="K11" t="s">
        <v>5</v>
      </c>
      <c r="L11" s="6">
        <f t="shared" si="7"/>
        <v>23.919999999999998</v>
      </c>
      <c r="M11" s="24">
        <f>SUM(H$2:H11)</f>
        <v>1067.8999999999999</v>
      </c>
      <c r="N11" s="24">
        <v>0</v>
      </c>
      <c r="P11" s="24">
        <v>0</v>
      </c>
      <c r="Q11" s="24">
        <v>0</v>
      </c>
      <c r="R11" t="s">
        <v>80</v>
      </c>
      <c r="S11" s="6">
        <f>VLOOKUP(Table1[[#This Row],[Route]],'Dropdown Lists'!$M$2:$N$7,2,FALSE)</f>
        <v>11.4</v>
      </c>
      <c r="T11" s="6"/>
      <c r="U11" s="51"/>
    </row>
    <row r="12" spans="1:21" x14ac:dyDescent="0.45">
      <c r="A12">
        <f t="shared" si="0"/>
        <v>23</v>
      </c>
      <c r="B12">
        <f t="shared" si="1"/>
        <v>36</v>
      </c>
      <c r="C12" s="1">
        <f t="shared" si="2"/>
        <v>45177</v>
      </c>
      <c r="D12" s="10">
        <v>45085</v>
      </c>
      <c r="E12" s="1" t="str">
        <f t="shared" si="3"/>
        <v>Thursday</v>
      </c>
      <c r="F12" t="s">
        <v>16</v>
      </c>
      <c r="G12" s="6">
        <v>160.80000000000001</v>
      </c>
      <c r="H12" s="47">
        <f t="shared" si="4"/>
        <v>152.80000000000001</v>
      </c>
      <c r="I12" s="24">
        <f t="shared" si="5"/>
        <v>8</v>
      </c>
      <c r="J12" s="2">
        <f t="shared" si="6"/>
        <v>45</v>
      </c>
      <c r="K12" t="s">
        <v>5</v>
      </c>
      <c r="L12" s="6">
        <f t="shared" si="7"/>
        <v>19.100000000000001</v>
      </c>
      <c r="M12" s="24">
        <f>SUM(H$2:H12)</f>
        <v>1220.6999999999998</v>
      </c>
      <c r="N12" s="24">
        <v>0</v>
      </c>
      <c r="P12" s="24">
        <v>0</v>
      </c>
      <c r="Q12" s="24">
        <v>0</v>
      </c>
      <c r="R12" t="s">
        <v>80</v>
      </c>
      <c r="S12" s="6">
        <f>VLOOKUP(Table1[[#This Row],[Route]],'Dropdown Lists'!$M$2:$N$7,2,FALSE)</f>
        <v>11.4</v>
      </c>
      <c r="T12" s="6"/>
      <c r="U12" s="51"/>
    </row>
    <row r="13" spans="1:21" x14ac:dyDescent="0.45">
      <c r="A13">
        <f t="shared" si="0"/>
        <v>24</v>
      </c>
      <c r="B13">
        <f t="shared" si="1"/>
        <v>37</v>
      </c>
      <c r="C13" s="1">
        <f t="shared" si="2"/>
        <v>45181</v>
      </c>
      <c r="D13" s="10">
        <v>45089</v>
      </c>
      <c r="E13" s="1" t="str">
        <f t="shared" si="3"/>
        <v>Monday</v>
      </c>
      <c r="F13" t="s">
        <v>16</v>
      </c>
      <c r="G13" s="6">
        <v>141.5</v>
      </c>
      <c r="H13" s="47">
        <f t="shared" si="4"/>
        <v>133.5</v>
      </c>
      <c r="I13" s="24">
        <f t="shared" si="5"/>
        <v>4</v>
      </c>
      <c r="J13" s="2">
        <f t="shared" si="6"/>
        <v>49</v>
      </c>
      <c r="K13" t="s">
        <v>5</v>
      </c>
      <c r="L13" s="6">
        <f t="shared" si="7"/>
        <v>33.375</v>
      </c>
      <c r="M13" s="24">
        <f>SUM(H$2:H13)</f>
        <v>1354.1999999999998</v>
      </c>
      <c r="N13" s="24">
        <v>0</v>
      </c>
      <c r="P13" s="24">
        <v>0</v>
      </c>
      <c r="Q13" s="24">
        <v>0</v>
      </c>
      <c r="R13" t="s">
        <v>80</v>
      </c>
      <c r="S13" s="6">
        <f>VLOOKUP(Table1[[#This Row],[Route]],'Dropdown Lists'!$M$2:$N$7,2,FALSE)</f>
        <v>11.4</v>
      </c>
      <c r="T13" s="6"/>
      <c r="U13" s="51"/>
    </row>
    <row r="14" spans="1:21" x14ac:dyDescent="0.45">
      <c r="A14">
        <f t="shared" si="0"/>
        <v>24</v>
      </c>
      <c r="B14">
        <f t="shared" si="1"/>
        <v>37</v>
      </c>
      <c r="C14" s="1">
        <f t="shared" si="2"/>
        <v>45184</v>
      </c>
      <c r="D14" s="10">
        <v>45092</v>
      </c>
      <c r="E14" s="1" t="str">
        <f t="shared" si="3"/>
        <v>Thursday</v>
      </c>
      <c r="F14" t="s">
        <v>16</v>
      </c>
      <c r="G14" s="6">
        <v>134.5</v>
      </c>
      <c r="H14" s="47">
        <f t="shared" si="4"/>
        <v>126.5</v>
      </c>
      <c r="I14" s="24">
        <f t="shared" si="5"/>
        <v>3</v>
      </c>
      <c r="J14" s="2">
        <f t="shared" si="6"/>
        <v>52</v>
      </c>
      <c r="K14" t="s">
        <v>5</v>
      </c>
      <c r="L14" s="6">
        <f t="shared" si="7"/>
        <v>42.166666666666664</v>
      </c>
      <c r="M14" s="24">
        <f>SUM(H$2:H14)</f>
        <v>1480.6999999999998</v>
      </c>
      <c r="N14" s="24">
        <v>0</v>
      </c>
      <c r="P14" s="24">
        <v>0</v>
      </c>
      <c r="Q14" s="24">
        <v>0</v>
      </c>
      <c r="R14" t="s">
        <v>80</v>
      </c>
      <c r="S14" s="6">
        <f>VLOOKUP(Table1[[#This Row],[Route]],'Dropdown Lists'!$M$2:$N$7,2,FALSE)</f>
        <v>11.4</v>
      </c>
      <c r="T14" s="6"/>
      <c r="U14" s="51"/>
    </row>
    <row r="15" spans="1:21" x14ac:dyDescent="0.45">
      <c r="A15">
        <f t="shared" si="0"/>
        <v>25</v>
      </c>
      <c r="B15">
        <f t="shared" si="1"/>
        <v>38</v>
      </c>
      <c r="C15" s="1">
        <f t="shared" si="2"/>
        <v>45189</v>
      </c>
      <c r="D15" s="10">
        <v>45097</v>
      </c>
      <c r="E15" s="1" t="str">
        <f t="shared" si="3"/>
        <v>Tuesday</v>
      </c>
      <c r="F15" t="s">
        <v>16</v>
      </c>
      <c r="G15" s="6">
        <v>153.5</v>
      </c>
      <c r="H15" s="47">
        <f t="shared" si="4"/>
        <v>145.5</v>
      </c>
      <c r="I15" s="24">
        <f t="shared" si="5"/>
        <v>5</v>
      </c>
      <c r="J15" s="2">
        <f t="shared" si="6"/>
        <v>57</v>
      </c>
      <c r="K15" t="s">
        <v>5</v>
      </c>
      <c r="L15" s="6">
        <f t="shared" si="7"/>
        <v>29.1</v>
      </c>
      <c r="M15" s="24">
        <f>SUM(H$2:H15)</f>
        <v>1626.1999999999998</v>
      </c>
      <c r="N15" s="24">
        <v>0</v>
      </c>
      <c r="P15" s="24">
        <v>0</v>
      </c>
      <c r="Q15" s="24">
        <v>0</v>
      </c>
      <c r="R15" t="s">
        <v>80</v>
      </c>
      <c r="S15" s="6">
        <f>VLOOKUP(Table1[[#This Row],[Route]],'Dropdown Lists'!$M$2:$N$7,2,FALSE)</f>
        <v>11.4</v>
      </c>
      <c r="T15" s="6"/>
      <c r="U15" s="51"/>
    </row>
    <row r="16" spans="1:21" x14ac:dyDescent="0.45">
      <c r="A16">
        <f t="shared" si="0"/>
        <v>26</v>
      </c>
      <c r="B16">
        <f t="shared" si="1"/>
        <v>39</v>
      </c>
      <c r="C16" s="1">
        <f t="shared" si="2"/>
        <v>45195</v>
      </c>
      <c r="D16" s="10">
        <v>45103</v>
      </c>
      <c r="E16" s="1" t="str">
        <f t="shared" si="3"/>
        <v>Monday</v>
      </c>
      <c r="F16" t="s">
        <v>16</v>
      </c>
      <c r="G16" s="6">
        <v>148</v>
      </c>
      <c r="H16" s="47">
        <f t="shared" si="4"/>
        <v>140</v>
      </c>
      <c r="I16" s="24">
        <f t="shared" si="5"/>
        <v>6</v>
      </c>
      <c r="J16" s="2">
        <f t="shared" si="6"/>
        <v>63</v>
      </c>
      <c r="K16" t="s">
        <v>5</v>
      </c>
      <c r="L16" s="6">
        <f t="shared" si="7"/>
        <v>23.333333333333332</v>
      </c>
      <c r="M16" s="24">
        <f>SUM(H$2:H16)</f>
        <v>1766.1999999999998</v>
      </c>
      <c r="N16" s="24">
        <v>0</v>
      </c>
      <c r="P16" s="24">
        <v>0</v>
      </c>
      <c r="Q16" s="24">
        <v>0</v>
      </c>
      <c r="R16" t="s">
        <v>80</v>
      </c>
      <c r="S16" s="6">
        <f>VLOOKUP(Table1[[#This Row],[Route]],'Dropdown Lists'!$M$2:$N$7,2,FALSE)</f>
        <v>11.4</v>
      </c>
      <c r="T16" s="6"/>
      <c r="U16" s="51"/>
    </row>
    <row r="17" spans="1:21" x14ac:dyDescent="0.45">
      <c r="A17">
        <f t="shared" si="0"/>
        <v>27</v>
      </c>
      <c r="B17">
        <f t="shared" si="1"/>
        <v>40</v>
      </c>
      <c r="C17" s="1">
        <f t="shared" si="2"/>
        <v>45201</v>
      </c>
      <c r="D17" s="10">
        <v>45109</v>
      </c>
      <c r="E17" s="1" t="str">
        <f t="shared" si="3"/>
        <v>Sunday</v>
      </c>
      <c r="F17" t="s">
        <v>16</v>
      </c>
      <c r="G17" s="6">
        <v>151</v>
      </c>
      <c r="H17" s="47">
        <f t="shared" si="4"/>
        <v>143</v>
      </c>
      <c r="I17" s="24">
        <f t="shared" si="5"/>
        <v>6</v>
      </c>
      <c r="J17" s="2">
        <f t="shared" si="6"/>
        <v>69</v>
      </c>
      <c r="K17" t="s">
        <v>5</v>
      </c>
      <c r="L17" s="6">
        <f t="shared" si="7"/>
        <v>23.833333333333332</v>
      </c>
      <c r="M17" s="24">
        <f>SUM(H$2:H17)</f>
        <v>1909.1999999999998</v>
      </c>
      <c r="N17" s="24">
        <v>0</v>
      </c>
      <c r="P17" s="24">
        <v>0</v>
      </c>
      <c r="Q17" s="24">
        <v>0</v>
      </c>
      <c r="R17" t="s">
        <v>80</v>
      </c>
      <c r="S17" s="6">
        <f>VLOOKUP(Table1[[#This Row],[Route]],'Dropdown Lists'!$M$2:$N$7,2,FALSE)</f>
        <v>11.4</v>
      </c>
      <c r="T17" s="6"/>
      <c r="U17" s="51"/>
    </row>
    <row r="18" spans="1:21" x14ac:dyDescent="0.45">
      <c r="A18">
        <f t="shared" si="0"/>
        <v>27</v>
      </c>
      <c r="B18">
        <f t="shared" si="1"/>
        <v>40</v>
      </c>
      <c r="C18" s="1">
        <f t="shared" si="2"/>
        <v>45205</v>
      </c>
      <c r="D18" s="10">
        <v>45113</v>
      </c>
      <c r="E18" s="1" t="str">
        <f t="shared" si="3"/>
        <v>Thursday</v>
      </c>
      <c r="F18" t="s">
        <v>16</v>
      </c>
      <c r="G18" s="6">
        <v>177</v>
      </c>
      <c r="H18" s="47">
        <f t="shared" si="4"/>
        <v>169</v>
      </c>
      <c r="I18" s="24">
        <f t="shared" si="5"/>
        <v>4</v>
      </c>
      <c r="J18" s="2">
        <f t="shared" si="6"/>
        <v>73</v>
      </c>
      <c r="K18" t="s">
        <v>5</v>
      </c>
      <c r="L18" s="6">
        <f t="shared" si="7"/>
        <v>42.25</v>
      </c>
      <c r="M18" s="24">
        <f>SUM(H$2:H18)</f>
        <v>2078.1999999999998</v>
      </c>
      <c r="N18" s="24">
        <v>0</v>
      </c>
      <c r="P18" s="24">
        <v>0</v>
      </c>
      <c r="Q18" s="24">
        <v>0</v>
      </c>
      <c r="R18" t="s">
        <v>80</v>
      </c>
      <c r="S18" s="6">
        <f>VLOOKUP(Table1[[#This Row],[Route]],'Dropdown Lists'!$M$2:$N$7,2,FALSE)</f>
        <v>11.4</v>
      </c>
      <c r="T18" s="6"/>
      <c r="U18" s="51"/>
    </row>
    <row r="19" spans="1:21" x14ac:dyDescent="0.45">
      <c r="A19">
        <f t="shared" si="0"/>
        <v>28</v>
      </c>
      <c r="B19">
        <f t="shared" si="1"/>
        <v>41</v>
      </c>
      <c r="C19" s="1">
        <f t="shared" si="2"/>
        <v>45212</v>
      </c>
      <c r="D19" s="10">
        <v>45120</v>
      </c>
      <c r="E19" s="1" t="str">
        <f t="shared" si="3"/>
        <v>Thursday</v>
      </c>
      <c r="F19" t="s">
        <v>16</v>
      </c>
      <c r="G19" s="6">
        <v>154</v>
      </c>
      <c r="H19" s="47">
        <f t="shared" si="4"/>
        <v>146</v>
      </c>
      <c r="I19" s="24">
        <f t="shared" si="5"/>
        <v>7</v>
      </c>
      <c r="J19" s="2">
        <f t="shared" si="6"/>
        <v>80</v>
      </c>
      <c r="K19" t="s">
        <v>5</v>
      </c>
      <c r="L19" s="6">
        <f t="shared" si="7"/>
        <v>20.857142857142858</v>
      </c>
      <c r="M19" s="24">
        <f>SUM(H$2:H19)</f>
        <v>2224.1999999999998</v>
      </c>
      <c r="N19" s="24">
        <v>0</v>
      </c>
      <c r="P19" s="24">
        <v>0</v>
      </c>
      <c r="Q19" s="24">
        <v>0</v>
      </c>
      <c r="R19" t="s">
        <v>80</v>
      </c>
      <c r="S19" s="6">
        <f>VLOOKUP(Table1[[#This Row],[Route]],'Dropdown Lists'!$M$2:$N$7,2,FALSE)</f>
        <v>11.4</v>
      </c>
      <c r="T19" s="6"/>
      <c r="U19" s="51"/>
    </row>
    <row r="20" spans="1:21" x14ac:dyDescent="0.45">
      <c r="A20">
        <f t="shared" si="0"/>
        <v>29</v>
      </c>
      <c r="B20">
        <f t="shared" si="1"/>
        <v>42</v>
      </c>
      <c r="C20" s="1">
        <f t="shared" si="2"/>
        <v>45215</v>
      </c>
      <c r="D20" s="10">
        <v>45123</v>
      </c>
      <c r="E20" s="1" t="str">
        <f t="shared" si="3"/>
        <v>Sunday</v>
      </c>
      <c r="F20" t="s">
        <v>16</v>
      </c>
      <c r="G20" s="6">
        <v>146.5</v>
      </c>
      <c r="H20" s="47">
        <f t="shared" si="4"/>
        <v>138.5</v>
      </c>
      <c r="I20" s="24">
        <f t="shared" si="5"/>
        <v>3</v>
      </c>
      <c r="J20" s="2">
        <f t="shared" si="6"/>
        <v>83</v>
      </c>
      <c r="K20" t="s">
        <v>5</v>
      </c>
      <c r="L20" s="6">
        <f t="shared" si="7"/>
        <v>46.166666666666664</v>
      </c>
      <c r="M20" s="24">
        <f>SUM(H$2:H20)</f>
        <v>2362.6999999999998</v>
      </c>
      <c r="N20" s="24">
        <v>0</v>
      </c>
      <c r="P20" s="24">
        <v>0</v>
      </c>
      <c r="Q20" s="24">
        <v>0</v>
      </c>
      <c r="R20" t="s">
        <v>80</v>
      </c>
      <c r="S20" s="6">
        <f>VLOOKUP(Table1[[#This Row],[Route]],'Dropdown Lists'!$M$2:$N$7,2,FALSE)</f>
        <v>11.4</v>
      </c>
      <c r="T20" s="6"/>
      <c r="U20" s="51"/>
    </row>
    <row r="21" spans="1:21" x14ac:dyDescent="0.45">
      <c r="A21">
        <f t="shared" si="0"/>
        <v>29</v>
      </c>
      <c r="B21">
        <f t="shared" si="1"/>
        <v>42</v>
      </c>
      <c r="C21" s="1">
        <f t="shared" si="2"/>
        <v>45219</v>
      </c>
      <c r="D21" s="10">
        <v>45127</v>
      </c>
      <c r="E21" s="1" t="str">
        <f t="shared" si="3"/>
        <v>Thursday</v>
      </c>
      <c r="F21" t="s">
        <v>16</v>
      </c>
      <c r="G21" s="6">
        <v>141</v>
      </c>
      <c r="H21" s="47">
        <f t="shared" si="4"/>
        <v>133</v>
      </c>
      <c r="I21" s="24">
        <f t="shared" si="5"/>
        <v>4</v>
      </c>
      <c r="J21" s="2">
        <f t="shared" si="6"/>
        <v>87</v>
      </c>
      <c r="K21" t="s">
        <v>5</v>
      </c>
      <c r="L21" s="6">
        <f t="shared" si="7"/>
        <v>33.25</v>
      </c>
      <c r="M21" s="24">
        <f>SUM(H$2:H21)</f>
        <v>2495.6999999999998</v>
      </c>
      <c r="N21" s="24">
        <v>0</v>
      </c>
      <c r="P21" s="24">
        <v>0</v>
      </c>
      <c r="Q21" s="24">
        <v>0</v>
      </c>
      <c r="R21" t="s">
        <v>80</v>
      </c>
      <c r="S21" s="6">
        <f>VLOOKUP(Table1[[#This Row],[Route]],'Dropdown Lists'!$M$2:$N$7,2,FALSE)</f>
        <v>11.4</v>
      </c>
      <c r="T21" s="6"/>
      <c r="U21" s="51"/>
    </row>
    <row r="22" spans="1:21" x14ac:dyDescent="0.45">
      <c r="A22">
        <f t="shared" si="0"/>
        <v>30</v>
      </c>
      <c r="B22">
        <f t="shared" si="1"/>
        <v>43</v>
      </c>
      <c r="C22" s="1">
        <f t="shared" si="2"/>
        <v>45223</v>
      </c>
      <c r="D22" s="10">
        <v>45131</v>
      </c>
      <c r="E22" s="1" t="str">
        <f t="shared" si="3"/>
        <v>Monday</v>
      </c>
      <c r="F22" t="s">
        <v>16</v>
      </c>
      <c r="G22" s="6">
        <v>149.5</v>
      </c>
      <c r="H22" s="47">
        <f t="shared" si="4"/>
        <v>141.5</v>
      </c>
      <c r="I22" s="24">
        <f t="shared" si="5"/>
        <v>4</v>
      </c>
      <c r="J22" s="2">
        <f t="shared" si="6"/>
        <v>91</v>
      </c>
      <c r="K22" t="s">
        <v>5</v>
      </c>
      <c r="L22" s="6">
        <f t="shared" si="7"/>
        <v>35.375</v>
      </c>
      <c r="M22" s="24">
        <f>SUM(H$2:H22)</f>
        <v>2637.2</v>
      </c>
      <c r="N22" s="24">
        <v>0</v>
      </c>
      <c r="P22" s="24">
        <v>0</v>
      </c>
      <c r="Q22" s="24">
        <v>0</v>
      </c>
      <c r="R22" t="s">
        <v>80</v>
      </c>
      <c r="S22" s="6">
        <f>VLOOKUP(Table1[[#This Row],[Route]],'Dropdown Lists'!$M$2:$N$7,2,FALSE)</f>
        <v>11.4</v>
      </c>
      <c r="T22" s="6"/>
      <c r="U22" s="51"/>
    </row>
    <row r="23" spans="1:21" x14ac:dyDescent="0.45">
      <c r="A23">
        <f t="shared" si="0"/>
        <v>30</v>
      </c>
      <c r="B23">
        <f t="shared" si="1"/>
        <v>43</v>
      </c>
      <c r="C23" s="1">
        <f t="shared" si="2"/>
        <v>45226</v>
      </c>
      <c r="D23" s="10">
        <v>45134</v>
      </c>
      <c r="E23" s="1" t="str">
        <f t="shared" si="3"/>
        <v>Thursday</v>
      </c>
      <c r="F23" t="s">
        <v>16</v>
      </c>
      <c r="G23" s="6">
        <v>140</v>
      </c>
      <c r="H23" s="47">
        <f t="shared" si="4"/>
        <v>132</v>
      </c>
      <c r="I23" s="24">
        <f t="shared" si="5"/>
        <v>3</v>
      </c>
      <c r="J23" s="2">
        <f t="shared" si="6"/>
        <v>94</v>
      </c>
      <c r="K23" t="s">
        <v>5</v>
      </c>
      <c r="L23" s="6">
        <f t="shared" si="7"/>
        <v>44</v>
      </c>
      <c r="M23" s="24">
        <f>SUM(H$2:H23)</f>
        <v>2769.2</v>
      </c>
      <c r="N23" s="24">
        <v>0</v>
      </c>
      <c r="P23" s="24">
        <v>0</v>
      </c>
      <c r="Q23" s="24">
        <v>0</v>
      </c>
      <c r="R23" t="s">
        <v>80</v>
      </c>
      <c r="S23" s="6">
        <f>VLOOKUP(Table1[[#This Row],[Route]],'Dropdown Lists'!$M$2:$N$7,2,FALSE)</f>
        <v>11.4</v>
      </c>
      <c r="T23" s="6"/>
      <c r="U23" s="51"/>
    </row>
    <row r="24" spans="1:21" x14ac:dyDescent="0.45">
      <c r="A24">
        <f t="shared" si="0"/>
        <v>31</v>
      </c>
      <c r="B24">
        <f t="shared" si="1"/>
        <v>44</v>
      </c>
      <c r="C24" s="1">
        <f t="shared" si="2"/>
        <v>45231</v>
      </c>
      <c r="D24" s="10">
        <v>45139</v>
      </c>
      <c r="E24" s="1" t="str">
        <f t="shared" si="3"/>
        <v>Tuesday</v>
      </c>
      <c r="F24" t="s">
        <v>16</v>
      </c>
      <c r="G24" s="6">
        <v>183.5</v>
      </c>
      <c r="H24" s="47">
        <f t="shared" si="4"/>
        <v>175.5</v>
      </c>
      <c r="I24" s="24">
        <f t="shared" si="5"/>
        <v>5</v>
      </c>
      <c r="J24" s="2">
        <f t="shared" si="6"/>
        <v>99</v>
      </c>
      <c r="K24" t="s">
        <v>5</v>
      </c>
      <c r="L24" s="6">
        <f t="shared" si="7"/>
        <v>35.1</v>
      </c>
      <c r="M24" s="24">
        <f>SUM(H$2:H24)</f>
        <v>2944.7</v>
      </c>
      <c r="N24" s="24">
        <v>0</v>
      </c>
      <c r="P24" s="24">
        <v>0</v>
      </c>
      <c r="Q24" s="24">
        <v>0</v>
      </c>
      <c r="R24" t="s">
        <v>80</v>
      </c>
      <c r="S24" s="6">
        <f>VLOOKUP(Table1[[#This Row],[Route]],'Dropdown Lists'!$M$2:$N$7,2,FALSE)</f>
        <v>11.4</v>
      </c>
      <c r="T24" s="6"/>
      <c r="U24" s="51"/>
    </row>
    <row r="25" spans="1:21" x14ac:dyDescent="0.45">
      <c r="A25">
        <f t="shared" si="0"/>
        <v>31</v>
      </c>
      <c r="B25">
        <f t="shared" si="1"/>
        <v>44</v>
      </c>
      <c r="C25" s="1">
        <f t="shared" si="2"/>
        <v>45233</v>
      </c>
      <c r="D25" s="10">
        <v>45141</v>
      </c>
      <c r="E25" s="1" t="str">
        <f t="shared" si="3"/>
        <v>Thursday</v>
      </c>
      <c r="F25" t="s">
        <v>16</v>
      </c>
      <c r="G25" s="6">
        <v>175</v>
      </c>
      <c r="H25" s="47">
        <f t="shared" si="4"/>
        <v>167</v>
      </c>
      <c r="I25" s="24">
        <f t="shared" si="5"/>
        <v>2</v>
      </c>
      <c r="J25" s="2">
        <f t="shared" si="6"/>
        <v>101</v>
      </c>
      <c r="K25" t="s">
        <v>5</v>
      </c>
      <c r="L25" s="6">
        <f t="shared" si="7"/>
        <v>83.5</v>
      </c>
      <c r="M25" s="24">
        <f>SUM(H$2:H25)</f>
        <v>3111.7</v>
      </c>
      <c r="N25" s="24">
        <v>0</v>
      </c>
      <c r="P25" s="24">
        <v>0</v>
      </c>
      <c r="Q25" s="24">
        <v>0</v>
      </c>
      <c r="R25" t="s">
        <v>80</v>
      </c>
      <c r="S25" s="6">
        <f>VLOOKUP(Table1[[#This Row],[Route]],'Dropdown Lists'!$M$2:$N$7,2,FALSE)</f>
        <v>11.4</v>
      </c>
      <c r="T25" s="6"/>
      <c r="U25" s="51"/>
    </row>
    <row r="26" spans="1:21" x14ac:dyDescent="0.45">
      <c r="A26">
        <f t="shared" si="0"/>
        <v>32</v>
      </c>
      <c r="B26">
        <f t="shared" si="1"/>
        <v>45</v>
      </c>
      <c r="C26" s="1">
        <f t="shared" si="2"/>
        <v>45238</v>
      </c>
      <c r="D26" s="10">
        <v>45146</v>
      </c>
      <c r="E26" s="1" t="str">
        <f t="shared" si="3"/>
        <v>Tuesday</v>
      </c>
      <c r="F26" t="s">
        <v>16</v>
      </c>
      <c r="G26" s="6">
        <v>151</v>
      </c>
      <c r="H26" s="47">
        <f t="shared" si="4"/>
        <v>143</v>
      </c>
      <c r="I26" s="24">
        <f t="shared" si="5"/>
        <v>5</v>
      </c>
      <c r="J26" s="2">
        <f t="shared" si="6"/>
        <v>106</v>
      </c>
      <c r="K26" t="s">
        <v>18</v>
      </c>
      <c r="L26" s="6">
        <f t="shared" si="7"/>
        <v>28.6</v>
      </c>
      <c r="M26" s="24">
        <f>SUM(H$2:H26)</f>
        <v>3254.7</v>
      </c>
      <c r="N26" s="24">
        <v>0</v>
      </c>
      <c r="P26" s="24">
        <v>0</v>
      </c>
      <c r="Q26" s="24">
        <v>0</v>
      </c>
      <c r="R26" t="s">
        <v>80</v>
      </c>
      <c r="S26" s="6">
        <f>VLOOKUP(Table1[[#This Row],[Route]],'Dropdown Lists'!$M$2:$N$7,2,FALSE)</f>
        <v>11.4</v>
      </c>
      <c r="T26" s="6"/>
      <c r="U26" s="51"/>
    </row>
    <row r="27" spans="1:21" x14ac:dyDescent="0.45">
      <c r="A27">
        <f t="shared" si="0"/>
        <v>32</v>
      </c>
      <c r="B27">
        <f t="shared" si="1"/>
        <v>45</v>
      </c>
      <c r="C27" s="1">
        <f t="shared" si="2"/>
        <v>45241</v>
      </c>
      <c r="D27" s="10">
        <v>45149</v>
      </c>
      <c r="E27" s="1" t="str">
        <f t="shared" si="3"/>
        <v>Friday</v>
      </c>
      <c r="F27" t="s">
        <v>16</v>
      </c>
      <c r="G27" s="6">
        <v>130.5</v>
      </c>
      <c r="H27" s="47">
        <f t="shared" si="4"/>
        <v>122.5</v>
      </c>
      <c r="I27" s="24">
        <f t="shared" si="5"/>
        <v>3</v>
      </c>
      <c r="J27" s="2">
        <f t="shared" si="6"/>
        <v>109</v>
      </c>
      <c r="K27" t="s">
        <v>18</v>
      </c>
      <c r="L27" s="6">
        <f t="shared" si="7"/>
        <v>40.833333333333336</v>
      </c>
      <c r="M27" s="24">
        <f>SUM(H$2:H27)</f>
        <v>3377.2</v>
      </c>
      <c r="N27" s="24">
        <v>0</v>
      </c>
      <c r="P27" s="24">
        <v>0</v>
      </c>
      <c r="Q27" s="24">
        <v>0</v>
      </c>
      <c r="R27" t="s">
        <v>81</v>
      </c>
      <c r="S27" s="6">
        <f>VLOOKUP(Table1[[#This Row],[Route]],'Dropdown Lists'!$M$2:$N$7,2,FALSE)</f>
        <v>13.5</v>
      </c>
      <c r="T27" s="6"/>
      <c r="U27" s="51"/>
    </row>
    <row r="28" spans="1:21" x14ac:dyDescent="0.45">
      <c r="A28">
        <f t="shared" si="0"/>
        <v>33</v>
      </c>
      <c r="B28">
        <f t="shared" si="1"/>
        <v>46</v>
      </c>
      <c r="C28" s="1">
        <f t="shared" si="2"/>
        <v>45245</v>
      </c>
      <c r="D28" s="10">
        <v>45153</v>
      </c>
      <c r="E28" s="1" t="str">
        <f t="shared" si="3"/>
        <v>Tuesday</v>
      </c>
      <c r="F28" t="s">
        <v>16</v>
      </c>
      <c r="G28" s="6">
        <v>148.5</v>
      </c>
      <c r="H28" s="47">
        <f t="shared" si="4"/>
        <v>140.5</v>
      </c>
      <c r="I28" s="24">
        <f t="shared" si="5"/>
        <v>4</v>
      </c>
      <c r="J28" s="2">
        <f t="shared" si="6"/>
        <v>113</v>
      </c>
      <c r="K28" t="s">
        <v>5</v>
      </c>
      <c r="L28" s="6">
        <f t="shared" si="7"/>
        <v>35.125</v>
      </c>
      <c r="M28" s="24">
        <f>SUM(H$2:H28)</f>
        <v>3517.7</v>
      </c>
      <c r="N28" s="24">
        <v>0</v>
      </c>
      <c r="P28" s="24">
        <v>0</v>
      </c>
      <c r="Q28" s="24">
        <v>0</v>
      </c>
      <c r="R28" t="s">
        <v>81</v>
      </c>
      <c r="S28" s="6">
        <f>VLOOKUP(Table1[[#This Row],[Route]],'Dropdown Lists'!$M$2:$N$7,2,FALSE)</f>
        <v>13.5</v>
      </c>
      <c r="T28" s="6"/>
      <c r="U28" s="51"/>
    </row>
    <row r="29" spans="1:21" x14ac:dyDescent="0.45">
      <c r="A29">
        <f t="shared" si="0"/>
        <v>33</v>
      </c>
      <c r="B29">
        <f t="shared" si="1"/>
        <v>47</v>
      </c>
      <c r="C29" s="1">
        <f t="shared" si="2"/>
        <v>45249</v>
      </c>
      <c r="D29" s="10">
        <v>45157</v>
      </c>
      <c r="E29" s="1" t="str">
        <f t="shared" si="3"/>
        <v>Saturday</v>
      </c>
      <c r="F29" t="s">
        <v>16</v>
      </c>
      <c r="G29" s="6">
        <v>162.5</v>
      </c>
      <c r="H29" s="47">
        <f t="shared" si="4"/>
        <v>154.5</v>
      </c>
      <c r="I29" s="24">
        <f t="shared" si="5"/>
        <v>4</v>
      </c>
      <c r="J29" s="2">
        <f t="shared" si="6"/>
        <v>117</v>
      </c>
      <c r="K29" t="s">
        <v>18</v>
      </c>
      <c r="L29" s="6">
        <f t="shared" si="7"/>
        <v>38.625</v>
      </c>
      <c r="M29" s="24">
        <f>SUM(H$2:H29)</f>
        <v>3672.2</v>
      </c>
      <c r="N29" s="24">
        <v>0</v>
      </c>
      <c r="P29" s="24">
        <v>0</v>
      </c>
      <c r="Q29" s="24">
        <v>0</v>
      </c>
      <c r="R29" t="s">
        <v>80</v>
      </c>
      <c r="S29" s="6">
        <f>VLOOKUP(Table1[[#This Row],[Route]],'Dropdown Lists'!$M$2:$N$7,2,FALSE)</f>
        <v>11.4</v>
      </c>
      <c r="T29" s="6"/>
      <c r="U29" s="51"/>
    </row>
    <row r="30" spans="1:21" x14ac:dyDescent="0.45">
      <c r="A30">
        <f t="shared" si="0"/>
        <v>34</v>
      </c>
      <c r="B30">
        <f t="shared" si="1"/>
        <v>47</v>
      </c>
      <c r="C30" s="1">
        <f t="shared" si="2"/>
        <v>45251</v>
      </c>
      <c r="D30" s="10">
        <v>45159</v>
      </c>
      <c r="E30" s="1" t="str">
        <f t="shared" si="3"/>
        <v>Monday</v>
      </c>
      <c r="F30" t="s">
        <v>16</v>
      </c>
      <c r="G30" s="6">
        <v>124</v>
      </c>
      <c r="H30" s="47">
        <f t="shared" si="4"/>
        <v>116</v>
      </c>
      <c r="I30" s="24">
        <f t="shared" si="5"/>
        <v>2</v>
      </c>
      <c r="J30" s="2">
        <f t="shared" si="6"/>
        <v>119</v>
      </c>
      <c r="K30" t="s">
        <v>18</v>
      </c>
      <c r="L30" s="6">
        <f t="shared" si="7"/>
        <v>58</v>
      </c>
      <c r="M30" s="24">
        <f>SUM(H$2:H30)</f>
        <v>3788.2</v>
      </c>
      <c r="N30" s="24">
        <v>0</v>
      </c>
      <c r="P30" s="24">
        <v>0</v>
      </c>
      <c r="Q30" s="24">
        <v>0</v>
      </c>
      <c r="R30" t="s">
        <v>81</v>
      </c>
      <c r="S30" s="6">
        <f>VLOOKUP(Table1[[#This Row],[Route]],'Dropdown Lists'!$M$2:$N$7,2,FALSE)</f>
        <v>13.5</v>
      </c>
      <c r="T30" s="6"/>
      <c r="U30" s="51"/>
    </row>
    <row r="31" spans="1:21" x14ac:dyDescent="0.45">
      <c r="A31">
        <f t="shared" si="0"/>
        <v>34</v>
      </c>
      <c r="B31">
        <f t="shared" si="1"/>
        <v>47</v>
      </c>
      <c r="C31" s="1">
        <f t="shared" si="2"/>
        <v>45254</v>
      </c>
      <c r="D31" s="10">
        <v>45162</v>
      </c>
      <c r="E31" s="1" t="str">
        <f t="shared" si="3"/>
        <v>Thursday</v>
      </c>
      <c r="F31" t="s">
        <v>16</v>
      </c>
      <c r="G31" s="6">
        <v>150</v>
      </c>
      <c r="H31" s="47">
        <f t="shared" si="4"/>
        <v>142</v>
      </c>
      <c r="I31" s="24">
        <f t="shared" si="5"/>
        <v>3</v>
      </c>
      <c r="J31" s="2">
        <f t="shared" si="6"/>
        <v>122</v>
      </c>
      <c r="K31" t="s">
        <v>5</v>
      </c>
      <c r="L31" s="6">
        <f t="shared" si="7"/>
        <v>47.333333333333336</v>
      </c>
      <c r="M31" s="24">
        <f>SUM(H$2:H31)</f>
        <v>3930.2</v>
      </c>
      <c r="N31" s="24">
        <v>0</v>
      </c>
      <c r="P31" s="24">
        <v>0</v>
      </c>
      <c r="Q31" s="24">
        <v>0</v>
      </c>
      <c r="R31" t="s">
        <v>81</v>
      </c>
      <c r="S31" s="6">
        <f>VLOOKUP(Table1[[#This Row],[Route]],'Dropdown Lists'!$M$2:$N$7,2,FALSE)</f>
        <v>13.5</v>
      </c>
      <c r="T31" s="6"/>
      <c r="U31" s="51"/>
    </row>
    <row r="32" spans="1:21" x14ac:dyDescent="0.45">
      <c r="A32">
        <f t="shared" si="0"/>
        <v>34</v>
      </c>
      <c r="B32">
        <f t="shared" si="1"/>
        <v>48</v>
      </c>
      <c r="C32" s="1">
        <f t="shared" si="2"/>
        <v>45256</v>
      </c>
      <c r="D32" s="10">
        <v>45164</v>
      </c>
      <c r="E32" s="1" t="str">
        <f t="shared" si="3"/>
        <v>Saturday</v>
      </c>
      <c r="F32" t="s">
        <v>16</v>
      </c>
      <c r="G32" s="6">
        <v>180</v>
      </c>
      <c r="H32" s="47">
        <f t="shared" si="4"/>
        <v>172</v>
      </c>
      <c r="I32" s="24">
        <f t="shared" si="5"/>
        <v>2</v>
      </c>
      <c r="J32" s="2">
        <f t="shared" si="6"/>
        <v>124</v>
      </c>
      <c r="K32" t="s">
        <v>5</v>
      </c>
      <c r="L32" s="6">
        <f t="shared" si="7"/>
        <v>86</v>
      </c>
      <c r="M32" s="24">
        <f>SUM(H$2:H32)</f>
        <v>4102.2</v>
      </c>
      <c r="N32" s="24">
        <v>0</v>
      </c>
      <c r="P32" s="24">
        <v>0</v>
      </c>
      <c r="Q32" s="24">
        <v>0</v>
      </c>
      <c r="R32" t="s">
        <v>80</v>
      </c>
      <c r="S32" s="6">
        <f>VLOOKUP(Table1[[#This Row],[Route]],'Dropdown Lists'!$M$2:$N$7,2,FALSE)</f>
        <v>11.4</v>
      </c>
      <c r="T32" s="6"/>
      <c r="U32" s="51"/>
    </row>
    <row r="33" spans="1:21" x14ac:dyDescent="0.45">
      <c r="A33">
        <f t="shared" si="0"/>
        <v>35</v>
      </c>
      <c r="B33">
        <f t="shared" si="1"/>
        <v>48</v>
      </c>
      <c r="C33" s="1">
        <f t="shared" si="2"/>
        <v>45258</v>
      </c>
      <c r="D33" s="10">
        <v>45166</v>
      </c>
      <c r="E33" s="1" t="str">
        <f t="shared" si="3"/>
        <v>Monday</v>
      </c>
      <c r="F33" t="s">
        <v>16</v>
      </c>
      <c r="G33" s="6">
        <v>75</v>
      </c>
      <c r="H33" s="47">
        <f t="shared" si="4"/>
        <v>67</v>
      </c>
      <c r="I33" s="24">
        <f t="shared" si="5"/>
        <v>2</v>
      </c>
      <c r="J33" s="2">
        <f t="shared" si="6"/>
        <v>126</v>
      </c>
      <c r="K33" t="s">
        <v>18</v>
      </c>
      <c r="L33" s="6">
        <f t="shared" si="7"/>
        <v>33.5</v>
      </c>
      <c r="M33" s="24">
        <f>SUM(H$2:H33)</f>
        <v>4169.2</v>
      </c>
      <c r="N33" s="24">
        <v>0</v>
      </c>
      <c r="P33" s="24">
        <v>0</v>
      </c>
      <c r="Q33" s="24">
        <v>0</v>
      </c>
      <c r="R33" t="s">
        <v>81</v>
      </c>
      <c r="S33" s="6">
        <f>VLOOKUP(Table1[[#This Row],[Route]],'Dropdown Lists'!$M$2:$N$7,2,FALSE)</f>
        <v>13.5</v>
      </c>
      <c r="T33" s="6"/>
      <c r="U33" s="51"/>
    </row>
    <row r="34" spans="1:21" x14ac:dyDescent="0.45">
      <c r="A34">
        <f t="shared" si="0"/>
        <v>35</v>
      </c>
      <c r="B34">
        <f t="shared" si="1"/>
        <v>48</v>
      </c>
      <c r="C34" s="1">
        <f t="shared" si="2"/>
        <v>45261</v>
      </c>
      <c r="D34" s="10">
        <v>45169</v>
      </c>
      <c r="E34" s="1" t="str">
        <f t="shared" si="3"/>
        <v>Thursday</v>
      </c>
      <c r="F34" t="s">
        <v>16</v>
      </c>
      <c r="G34" s="6">
        <v>190</v>
      </c>
      <c r="H34" s="47">
        <f t="shared" si="4"/>
        <v>182</v>
      </c>
      <c r="I34" s="24">
        <f t="shared" si="5"/>
        <v>3</v>
      </c>
      <c r="J34" s="2">
        <f t="shared" si="6"/>
        <v>129</v>
      </c>
      <c r="K34" t="s">
        <v>5</v>
      </c>
      <c r="L34" s="6">
        <f t="shared" si="7"/>
        <v>60.666666666666664</v>
      </c>
      <c r="M34" s="24">
        <f>SUM(H$2:H34)</f>
        <v>4351.2</v>
      </c>
      <c r="N34" s="24">
        <v>0</v>
      </c>
      <c r="P34" s="24">
        <v>0</v>
      </c>
      <c r="Q34" s="24">
        <v>0</v>
      </c>
      <c r="R34" t="s">
        <v>81</v>
      </c>
      <c r="S34" s="6">
        <f>VLOOKUP(Table1[[#This Row],[Route]],'Dropdown Lists'!$M$2:$N$7,2,FALSE)</f>
        <v>13.5</v>
      </c>
      <c r="T34" s="6"/>
      <c r="U34" s="51"/>
    </row>
    <row r="35" spans="1:21" x14ac:dyDescent="0.45">
      <c r="A35">
        <f t="shared" si="0"/>
        <v>36</v>
      </c>
      <c r="B35">
        <f t="shared" si="1"/>
        <v>49</v>
      </c>
      <c r="C35" s="1">
        <f t="shared" si="2"/>
        <v>45264</v>
      </c>
      <c r="D35" s="10">
        <v>45172</v>
      </c>
      <c r="E35" s="1" t="str">
        <f t="shared" si="3"/>
        <v>Sunday</v>
      </c>
      <c r="F35" t="s">
        <v>16</v>
      </c>
      <c r="G35" s="6">
        <v>170</v>
      </c>
      <c r="H35" s="47">
        <f t="shared" si="4"/>
        <v>162</v>
      </c>
      <c r="I35" s="24">
        <f t="shared" ref="I35:I66" si="8">IF(D35-D34&lt;0, 0, D35-D34)</f>
        <v>3</v>
      </c>
      <c r="J35" s="2">
        <f t="shared" si="6"/>
        <v>132</v>
      </c>
      <c r="K35" t="s">
        <v>5</v>
      </c>
      <c r="L35" s="6">
        <f t="shared" si="7"/>
        <v>54</v>
      </c>
      <c r="M35" s="24">
        <f>SUM(H$2:H35)</f>
        <v>4513.2</v>
      </c>
      <c r="N35" s="24">
        <v>0</v>
      </c>
      <c r="P35" s="24">
        <v>0</v>
      </c>
      <c r="Q35" s="24">
        <v>0</v>
      </c>
      <c r="R35" t="s">
        <v>80</v>
      </c>
      <c r="S35" s="6">
        <f>VLOOKUP(Table1[[#This Row],[Route]],'Dropdown Lists'!$M$2:$N$7,2,FALSE)</f>
        <v>11.4</v>
      </c>
      <c r="T35" s="6"/>
      <c r="U35" s="51"/>
    </row>
    <row r="36" spans="1:21" x14ac:dyDescent="0.45">
      <c r="A36">
        <f t="shared" si="0"/>
        <v>36</v>
      </c>
      <c r="B36">
        <f t="shared" si="1"/>
        <v>49</v>
      </c>
      <c r="C36" s="1">
        <f t="shared" si="2"/>
        <v>45266</v>
      </c>
      <c r="D36" s="10">
        <v>45174</v>
      </c>
      <c r="E36" s="1" t="str">
        <f t="shared" si="3"/>
        <v>Tuesday</v>
      </c>
      <c r="F36" t="s">
        <v>16</v>
      </c>
      <c r="G36" s="6">
        <v>105.5</v>
      </c>
      <c r="H36" s="47">
        <f t="shared" si="4"/>
        <v>97.5</v>
      </c>
      <c r="I36" s="24">
        <f t="shared" si="8"/>
        <v>2</v>
      </c>
      <c r="J36" s="2">
        <f t="shared" si="6"/>
        <v>134</v>
      </c>
      <c r="K36" t="s">
        <v>18</v>
      </c>
      <c r="L36" s="6">
        <f t="shared" si="7"/>
        <v>48.75</v>
      </c>
      <c r="M36" s="24">
        <f>SUM(H$2:H36)</f>
        <v>4610.7</v>
      </c>
      <c r="N36" s="24">
        <v>0</v>
      </c>
      <c r="P36" s="24">
        <v>21</v>
      </c>
      <c r="Q36" s="24">
        <v>0</v>
      </c>
      <c r="R36" t="s">
        <v>81</v>
      </c>
      <c r="S36" s="6">
        <f>VLOOKUP(Table1[[#This Row],[Route]],'Dropdown Lists'!$M$2:$N$7,2,FALSE)</f>
        <v>13.5</v>
      </c>
      <c r="T36" s="6"/>
      <c r="U36" s="51"/>
    </row>
    <row r="37" spans="1:21" x14ac:dyDescent="0.45">
      <c r="A37">
        <f t="shared" si="0"/>
        <v>36</v>
      </c>
      <c r="B37">
        <f t="shared" si="1"/>
        <v>49</v>
      </c>
      <c r="C37" s="1">
        <f t="shared" si="2"/>
        <v>45268</v>
      </c>
      <c r="D37" s="10">
        <v>45176</v>
      </c>
      <c r="E37" s="1" t="str">
        <f t="shared" si="3"/>
        <v>Thursday</v>
      </c>
      <c r="F37" t="s">
        <v>16</v>
      </c>
      <c r="G37" s="6">
        <v>113.5</v>
      </c>
      <c r="H37" s="47">
        <f t="shared" si="4"/>
        <v>105.5</v>
      </c>
      <c r="I37" s="24">
        <f t="shared" si="8"/>
        <v>2</v>
      </c>
      <c r="J37" s="2">
        <f t="shared" si="6"/>
        <v>136</v>
      </c>
      <c r="K37" t="s">
        <v>18</v>
      </c>
      <c r="L37" s="6">
        <f t="shared" si="7"/>
        <v>52.75</v>
      </c>
      <c r="M37" s="24">
        <f>SUM(H$2:H37)</f>
        <v>4716.2</v>
      </c>
      <c r="N37" s="24">
        <v>0</v>
      </c>
      <c r="P37" s="24">
        <v>10.5</v>
      </c>
      <c r="Q37" s="24">
        <v>0</v>
      </c>
      <c r="R37" t="s">
        <v>81</v>
      </c>
      <c r="S37" s="6">
        <f>VLOOKUP(Table1[[#This Row],[Route]],'Dropdown Lists'!$M$2:$N$7,2,FALSE)</f>
        <v>13.5</v>
      </c>
      <c r="T37" s="6"/>
      <c r="U37" s="51"/>
    </row>
    <row r="38" spans="1:21" x14ac:dyDescent="0.45">
      <c r="A38">
        <f t="shared" si="0"/>
        <v>36</v>
      </c>
      <c r="B38">
        <f t="shared" si="1"/>
        <v>50</v>
      </c>
      <c r="C38" s="1">
        <f t="shared" si="2"/>
        <v>45270</v>
      </c>
      <c r="D38" s="10">
        <v>45178</v>
      </c>
      <c r="E38" s="1" t="str">
        <f t="shared" si="3"/>
        <v>Saturday</v>
      </c>
      <c r="F38" t="s">
        <v>16</v>
      </c>
      <c r="G38" s="6">
        <v>170.5</v>
      </c>
      <c r="H38" s="47">
        <f t="shared" si="4"/>
        <v>162.5</v>
      </c>
      <c r="I38" s="24">
        <f t="shared" si="8"/>
        <v>2</v>
      </c>
      <c r="J38" s="2">
        <f t="shared" si="6"/>
        <v>138</v>
      </c>
      <c r="K38" t="s">
        <v>18</v>
      </c>
      <c r="L38" s="6">
        <f t="shared" si="7"/>
        <v>81.25</v>
      </c>
      <c r="M38" s="24">
        <f>SUM(H$2:H38)</f>
        <v>4878.7</v>
      </c>
      <c r="N38" s="24">
        <v>0</v>
      </c>
      <c r="P38" s="24">
        <v>9</v>
      </c>
      <c r="Q38" s="24">
        <v>0</v>
      </c>
      <c r="R38" t="s">
        <v>80</v>
      </c>
      <c r="S38" s="6">
        <f>VLOOKUP(Table1[[#This Row],[Route]],'Dropdown Lists'!$M$2:$N$7,2,FALSE)</f>
        <v>11.4</v>
      </c>
      <c r="T38" s="6"/>
      <c r="U38" s="51"/>
    </row>
    <row r="39" spans="1:21" x14ac:dyDescent="0.45">
      <c r="A39">
        <f t="shared" si="0"/>
        <v>37</v>
      </c>
      <c r="B39">
        <f t="shared" si="1"/>
        <v>50</v>
      </c>
      <c r="C39" s="1">
        <f t="shared" si="2"/>
        <v>45272</v>
      </c>
      <c r="D39" s="10">
        <v>45180</v>
      </c>
      <c r="E39" s="1" t="str">
        <f t="shared" si="3"/>
        <v>Monday</v>
      </c>
      <c r="F39" t="s">
        <v>16</v>
      </c>
      <c r="G39" s="6">
        <v>163</v>
      </c>
      <c r="H39" s="47">
        <f t="shared" si="4"/>
        <v>155</v>
      </c>
      <c r="I39" s="24">
        <f t="shared" si="8"/>
        <v>2</v>
      </c>
      <c r="J39" s="2">
        <f t="shared" si="6"/>
        <v>140</v>
      </c>
      <c r="K39" t="s">
        <v>18</v>
      </c>
      <c r="L39" s="6">
        <f t="shared" si="7"/>
        <v>77.5</v>
      </c>
      <c r="M39" s="24">
        <f>SUM(H$2:H39)</f>
        <v>5033.7</v>
      </c>
      <c r="N39" s="24">
        <v>0</v>
      </c>
      <c r="P39" s="24">
        <v>7</v>
      </c>
      <c r="Q39" s="24">
        <v>0</v>
      </c>
      <c r="R39" t="s">
        <v>81</v>
      </c>
      <c r="S39" s="6">
        <f>VLOOKUP(Table1[[#This Row],[Route]],'Dropdown Lists'!$M$2:$N$7,2,FALSE)</f>
        <v>13.5</v>
      </c>
      <c r="T39" s="6"/>
      <c r="U39" s="51"/>
    </row>
    <row r="40" spans="1:21" x14ac:dyDescent="0.45">
      <c r="A40">
        <f t="shared" si="0"/>
        <v>37</v>
      </c>
      <c r="B40">
        <f t="shared" si="1"/>
        <v>50</v>
      </c>
      <c r="C40" s="1">
        <f t="shared" si="2"/>
        <v>45274</v>
      </c>
      <c r="D40" s="10">
        <v>45182</v>
      </c>
      <c r="E40" s="1" t="str">
        <f t="shared" si="3"/>
        <v>Wednesday</v>
      </c>
      <c r="F40" t="s">
        <v>16</v>
      </c>
      <c r="G40" s="6">
        <v>145.5</v>
      </c>
      <c r="H40" s="47">
        <f t="shared" si="4"/>
        <v>137.5</v>
      </c>
      <c r="I40" s="24">
        <f t="shared" si="8"/>
        <v>2</v>
      </c>
      <c r="J40" s="2">
        <f t="shared" si="6"/>
        <v>142</v>
      </c>
      <c r="K40" t="s">
        <v>18</v>
      </c>
      <c r="L40" s="6">
        <f t="shared" si="7"/>
        <v>68.75</v>
      </c>
      <c r="M40" s="24">
        <f>SUM(H$2:H40)</f>
        <v>5171.2</v>
      </c>
      <c r="N40" s="24">
        <v>0</v>
      </c>
      <c r="P40" s="24">
        <v>19</v>
      </c>
      <c r="Q40" s="24">
        <v>6.5</v>
      </c>
      <c r="R40" t="s">
        <v>81</v>
      </c>
      <c r="S40" s="6">
        <f>VLOOKUP(Table1[[#This Row],[Route]],'Dropdown Lists'!$M$2:$N$7,2,FALSE)</f>
        <v>13.5</v>
      </c>
      <c r="T40" s="6"/>
      <c r="U40" s="51"/>
    </row>
    <row r="41" spans="1:21" x14ac:dyDescent="0.45">
      <c r="A41">
        <f t="shared" si="0"/>
        <v>37</v>
      </c>
      <c r="B41">
        <f t="shared" si="1"/>
        <v>50</v>
      </c>
      <c r="C41" s="1">
        <f t="shared" si="2"/>
        <v>45276</v>
      </c>
      <c r="D41" s="10">
        <v>45184</v>
      </c>
      <c r="E41" s="1" t="str">
        <f t="shared" si="3"/>
        <v>Friday</v>
      </c>
      <c r="F41" t="s">
        <v>16</v>
      </c>
      <c r="G41" s="6">
        <v>109.5</v>
      </c>
      <c r="H41" s="47">
        <f t="shared" si="4"/>
        <v>101.5</v>
      </c>
      <c r="I41" s="24">
        <f t="shared" si="8"/>
        <v>2</v>
      </c>
      <c r="J41" s="2">
        <f t="shared" si="6"/>
        <v>144</v>
      </c>
      <c r="K41" t="s">
        <v>18</v>
      </c>
      <c r="L41" s="6">
        <f t="shared" si="7"/>
        <v>50.75</v>
      </c>
      <c r="M41" s="24">
        <f>SUM(H$2:H41)</f>
        <v>5272.7</v>
      </c>
      <c r="N41" s="24">
        <v>0</v>
      </c>
      <c r="P41" s="24">
        <v>23</v>
      </c>
      <c r="Q41" s="24">
        <v>0</v>
      </c>
      <c r="R41" t="s">
        <v>81</v>
      </c>
      <c r="S41" s="6">
        <f>VLOOKUP(Table1[[#This Row],[Route]],'Dropdown Lists'!$M$2:$N$7,2,FALSE)</f>
        <v>13.5</v>
      </c>
      <c r="T41" s="6"/>
      <c r="U41" s="51"/>
    </row>
    <row r="42" spans="1:21" x14ac:dyDescent="0.45">
      <c r="A42">
        <f t="shared" si="0"/>
        <v>38</v>
      </c>
      <c r="B42">
        <f t="shared" si="1"/>
        <v>51</v>
      </c>
      <c r="C42" s="1">
        <f t="shared" si="2"/>
        <v>45279</v>
      </c>
      <c r="D42" s="10">
        <v>45187</v>
      </c>
      <c r="E42" s="1" t="str">
        <f t="shared" si="3"/>
        <v>Monday</v>
      </c>
      <c r="F42" t="s">
        <v>16</v>
      </c>
      <c r="G42" s="6">
        <v>143</v>
      </c>
      <c r="H42" s="47">
        <f t="shared" si="4"/>
        <v>135</v>
      </c>
      <c r="I42" s="24">
        <f t="shared" si="8"/>
        <v>3</v>
      </c>
      <c r="J42" s="2">
        <f t="shared" si="6"/>
        <v>147</v>
      </c>
      <c r="K42" t="s">
        <v>18</v>
      </c>
      <c r="L42" s="6">
        <f t="shared" si="7"/>
        <v>45</v>
      </c>
      <c r="M42" s="24">
        <f>SUM(H$2:H42)</f>
        <v>5407.7</v>
      </c>
      <c r="N42" s="24">
        <v>0</v>
      </c>
      <c r="P42" s="24">
        <v>0</v>
      </c>
      <c r="Q42" s="24">
        <v>0</v>
      </c>
      <c r="R42" t="s">
        <v>81</v>
      </c>
      <c r="S42" s="6">
        <f>VLOOKUP(Table1[[#This Row],[Route]],'Dropdown Lists'!$M$2:$N$7,2,FALSE)</f>
        <v>13.5</v>
      </c>
      <c r="T42" s="6"/>
      <c r="U42" s="51"/>
    </row>
    <row r="43" spans="1:21" x14ac:dyDescent="0.45">
      <c r="A43">
        <f t="shared" si="0"/>
        <v>38</v>
      </c>
      <c r="B43">
        <f t="shared" si="1"/>
        <v>51</v>
      </c>
      <c r="C43" s="1">
        <f t="shared" si="2"/>
        <v>45281</v>
      </c>
      <c r="D43" s="10">
        <v>45189</v>
      </c>
      <c r="E43" s="1" t="str">
        <f t="shared" si="3"/>
        <v>Wednesday</v>
      </c>
      <c r="F43" t="s">
        <v>16</v>
      </c>
      <c r="G43" s="6">
        <v>143</v>
      </c>
      <c r="H43" s="47">
        <f t="shared" si="4"/>
        <v>135</v>
      </c>
      <c r="I43" s="24">
        <f t="shared" si="8"/>
        <v>2</v>
      </c>
      <c r="J43" s="2">
        <f t="shared" si="6"/>
        <v>149</v>
      </c>
      <c r="K43" t="s">
        <v>18</v>
      </c>
      <c r="L43" s="6">
        <f t="shared" si="7"/>
        <v>67.5</v>
      </c>
      <c r="M43" s="24">
        <f>SUM(H$2:H43)</f>
        <v>5542.7</v>
      </c>
      <c r="N43" s="24">
        <v>0</v>
      </c>
      <c r="P43" s="24">
        <v>5</v>
      </c>
      <c r="Q43" s="24">
        <v>0</v>
      </c>
      <c r="R43" t="s">
        <v>81</v>
      </c>
      <c r="S43" s="6">
        <f>VLOOKUP(Table1[[#This Row],[Route]],'Dropdown Lists'!$M$2:$N$7,2,FALSE)</f>
        <v>13.5</v>
      </c>
      <c r="T43" s="6"/>
      <c r="U43" s="51"/>
    </row>
    <row r="44" spans="1:21" x14ac:dyDescent="0.45">
      <c r="A44">
        <f t="shared" si="0"/>
        <v>38</v>
      </c>
      <c r="B44">
        <f t="shared" si="1"/>
        <v>51</v>
      </c>
      <c r="C44" s="1">
        <f t="shared" si="2"/>
        <v>45283</v>
      </c>
      <c r="D44" s="10">
        <v>45191</v>
      </c>
      <c r="E44" s="1" t="str">
        <f t="shared" si="3"/>
        <v>Friday</v>
      </c>
      <c r="F44" t="s">
        <v>16</v>
      </c>
      <c r="G44" s="6">
        <v>166</v>
      </c>
      <c r="H44" s="47">
        <f t="shared" si="4"/>
        <v>158</v>
      </c>
      <c r="I44" s="24">
        <f t="shared" si="8"/>
        <v>2</v>
      </c>
      <c r="J44" s="2">
        <f t="shared" si="6"/>
        <v>151</v>
      </c>
      <c r="K44" t="s">
        <v>18</v>
      </c>
      <c r="L44" s="6">
        <f t="shared" si="7"/>
        <v>79</v>
      </c>
      <c r="M44" s="24">
        <f>SUM(H$2:H44)</f>
        <v>5700.7</v>
      </c>
      <c r="N44" s="24">
        <v>0</v>
      </c>
      <c r="P44" s="24">
        <v>5</v>
      </c>
      <c r="Q44" s="24">
        <v>0</v>
      </c>
      <c r="R44" t="s">
        <v>81</v>
      </c>
      <c r="S44" s="6">
        <f>VLOOKUP(Table1[[#This Row],[Route]],'Dropdown Lists'!$M$2:$N$7,2,FALSE)</f>
        <v>13.5</v>
      </c>
      <c r="T44" s="6"/>
      <c r="U44" s="51"/>
    </row>
    <row r="45" spans="1:21" x14ac:dyDescent="0.45">
      <c r="A45">
        <f t="shared" si="0"/>
        <v>39</v>
      </c>
      <c r="B45">
        <f t="shared" si="1"/>
        <v>52</v>
      </c>
      <c r="C45" s="1">
        <f t="shared" si="2"/>
        <v>45285</v>
      </c>
      <c r="D45" s="10">
        <v>45193</v>
      </c>
      <c r="E45" s="1" t="str">
        <f t="shared" si="3"/>
        <v>Sunday</v>
      </c>
      <c r="F45" t="s">
        <v>16</v>
      </c>
      <c r="G45" s="6">
        <v>206</v>
      </c>
      <c r="H45" s="47">
        <f t="shared" si="4"/>
        <v>198</v>
      </c>
      <c r="I45" s="24">
        <f t="shared" si="8"/>
        <v>2</v>
      </c>
      <c r="J45" s="2">
        <f t="shared" si="6"/>
        <v>153</v>
      </c>
      <c r="K45" t="s">
        <v>5</v>
      </c>
      <c r="L45" s="6">
        <f t="shared" si="7"/>
        <v>99</v>
      </c>
      <c r="M45" s="24">
        <f>SUM(H$2:H45)</f>
        <v>5898.7</v>
      </c>
      <c r="N45" s="24">
        <v>0</v>
      </c>
      <c r="P45" s="24">
        <v>5</v>
      </c>
      <c r="Q45" s="24">
        <v>0</v>
      </c>
      <c r="R45" t="s">
        <v>80</v>
      </c>
      <c r="S45" s="6">
        <f>VLOOKUP(Table1[[#This Row],[Route]],'Dropdown Lists'!$M$2:$N$7,2,FALSE)</f>
        <v>11.4</v>
      </c>
      <c r="T45" s="6"/>
      <c r="U45" s="51"/>
    </row>
    <row r="46" spans="1:21" x14ac:dyDescent="0.45">
      <c r="A46">
        <f t="shared" si="0"/>
        <v>39</v>
      </c>
      <c r="B46">
        <f t="shared" si="1"/>
        <v>52</v>
      </c>
      <c r="C46" s="1">
        <f t="shared" si="2"/>
        <v>45287</v>
      </c>
      <c r="D46" s="10">
        <v>45195</v>
      </c>
      <c r="E46" s="1" t="str">
        <f t="shared" si="3"/>
        <v>Tuesday</v>
      </c>
      <c r="F46" t="s">
        <v>16</v>
      </c>
      <c r="G46" s="6">
        <v>90.5</v>
      </c>
      <c r="H46" s="47">
        <f t="shared" si="4"/>
        <v>82.5</v>
      </c>
      <c r="I46" s="24">
        <f t="shared" si="8"/>
        <v>2</v>
      </c>
      <c r="J46" s="2">
        <f t="shared" si="6"/>
        <v>155</v>
      </c>
      <c r="K46" t="s">
        <v>18</v>
      </c>
      <c r="L46" s="6">
        <f t="shared" si="7"/>
        <v>41.25</v>
      </c>
      <c r="M46" s="24">
        <f>SUM(H$2:H46)</f>
        <v>5981.2</v>
      </c>
      <c r="N46" s="24">
        <v>0</v>
      </c>
      <c r="P46" s="24">
        <v>1.5</v>
      </c>
      <c r="Q46" s="24">
        <v>0</v>
      </c>
      <c r="R46" t="s">
        <v>81</v>
      </c>
      <c r="S46" s="6">
        <f>VLOOKUP(Table1[[#This Row],[Route]],'Dropdown Lists'!$M$2:$N$7,2,FALSE)</f>
        <v>13.5</v>
      </c>
      <c r="T46" s="6"/>
      <c r="U46" s="51"/>
    </row>
    <row r="47" spans="1:21" x14ac:dyDescent="0.45">
      <c r="A47">
        <f t="shared" si="0"/>
        <v>39</v>
      </c>
      <c r="B47">
        <f t="shared" si="1"/>
        <v>52</v>
      </c>
      <c r="C47" s="1">
        <f t="shared" si="2"/>
        <v>45289</v>
      </c>
      <c r="D47" s="10">
        <v>45197</v>
      </c>
      <c r="E47" s="1" t="str">
        <f t="shared" si="3"/>
        <v>Thursday</v>
      </c>
      <c r="F47" t="s">
        <v>16</v>
      </c>
      <c r="G47" s="6">
        <v>200</v>
      </c>
      <c r="H47" s="47">
        <f t="shared" si="4"/>
        <v>192</v>
      </c>
      <c r="I47" s="24">
        <f t="shared" si="8"/>
        <v>2</v>
      </c>
      <c r="J47" s="2">
        <f t="shared" si="6"/>
        <v>157</v>
      </c>
      <c r="K47" t="s">
        <v>5</v>
      </c>
      <c r="L47" s="6">
        <f t="shared" si="7"/>
        <v>96</v>
      </c>
      <c r="M47" s="24">
        <f>SUM(H$2:H47)</f>
        <v>6173.2</v>
      </c>
      <c r="N47" s="24">
        <v>0</v>
      </c>
      <c r="P47" s="24">
        <v>5</v>
      </c>
      <c r="Q47" s="24">
        <v>0</v>
      </c>
      <c r="R47" t="s">
        <v>81</v>
      </c>
      <c r="S47" s="6">
        <f>VLOOKUP(Table1[[#This Row],[Route]],'Dropdown Lists'!$M$2:$N$7,2,FALSE)</f>
        <v>13.5</v>
      </c>
      <c r="T47" s="6"/>
      <c r="U47" s="51"/>
    </row>
    <row r="48" spans="1:21" x14ac:dyDescent="0.45">
      <c r="A48">
        <f t="shared" si="0"/>
        <v>39</v>
      </c>
      <c r="D48" s="10">
        <v>45199</v>
      </c>
      <c r="E48" s="1" t="str">
        <f t="shared" si="3"/>
        <v>Saturday</v>
      </c>
      <c r="F48" t="s">
        <v>16</v>
      </c>
      <c r="G48" s="6">
        <v>195</v>
      </c>
      <c r="H48" s="47">
        <f t="shared" si="4"/>
        <v>187</v>
      </c>
      <c r="I48" s="24">
        <f t="shared" si="8"/>
        <v>2</v>
      </c>
      <c r="J48" s="2">
        <f t="shared" si="6"/>
        <v>159</v>
      </c>
      <c r="K48" t="s">
        <v>18</v>
      </c>
      <c r="L48" s="6">
        <f t="shared" si="7"/>
        <v>93.5</v>
      </c>
      <c r="M48" s="24">
        <f>SUM(H$2:H48)</f>
        <v>6360.2</v>
      </c>
      <c r="N48" s="24">
        <v>0</v>
      </c>
      <c r="P48" s="24">
        <v>2</v>
      </c>
      <c r="Q48" s="24">
        <v>0</v>
      </c>
      <c r="R48" t="s">
        <v>80</v>
      </c>
      <c r="S48" s="6">
        <f>VLOOKUP(Table1[[#This Row],[Route]],'Dropdown Lists'!$M$2:$N$7,2,FALSE)</f>
        <v>11.4</v>
      </c>
      <c r="T48" s="6"/>
      <c r="U48" s="51"/>
    </row>
    <row r="49" spans="1:21" x14ac:dyDescent="0.45">
      <c r="A49">
        <f t="shared" si="0"/>
        <v>40</v>
      </c>
      <c r="D49" s="10">
        <v>45201</v>
      </c>
      <c r="E49" s="1" t="str">
        <f t="shared" si="3"/>
        <v>Monday</v>
      </c>
      <c r="F49" t="s">
        <v>16</v>
      </c>
      <c r="G49" s="6">
        <v>81.5</v>
      </c>
      <c r="H49" s="47">
        <f t="shared" si="4"/>
        <v>73.5</v>
      </c>
      <c r="I49" s="24">
        <f t="shared" si="8"/>
        <v>2</v>
      </c>
      <c r="J49" s="2">
        <f t="shared" si="6"/>
        <v>161</v>
      </c>
      <c r="K49" t="s">
        <v>18</v>
      </c>
      <c r="L49" s="6">
        <f t="shared" si="7"/>
        <v>36.75</v>
      </c>
      <c r="M49" s="24">
        <f>SUM(H$2:H49)</f>
        <v>6433.7</v>
      </c>
      <c r="N49" s="24">
        <v>0</v>
      </c>
      <c r="P49" s="24">
        <v>8</v>
      </c>
      <c r="Q49" s="24">
        <v>0</v>
      </c>
      <c r="R49" t="s">
        <v>81</v>
      </c>
      <c r="S49" s="6">
        <f>VLOOKUP(Table1[[#This Row],[Route]],'Dropdown Lists'!$M$2:$N$7,2,FALSE)</f>
        <v>13.5</v>
      </c>
      <c r="T49" s="6"/>
      <c r="U49" s="51"/>
    </row>
    <row r="50" spans="1:21" x14ac:dyDescent="0.45">
      <c r="A50">
        <f t="shared" si="0"/>
        <v>40</v>
      </c>
      <c r="D50" s="10">
        <v>45203</v>
      </c>
      <c r="E50" s="1" t="str">
        <f t="shared" si="3"/>
        <v>Wednesday</v>
      </c>
      <c r="F50" t="s">
        <v>16</v>
      </c>
      <c r="G50" s="6">
        <v>127</v>
      </c>
      <c r="H50" s="47">
        <f t="shared" si="4"/>
        <v>119</v>
      </c>
      <c r="I50" s="24">
        <f t="shared" si="8"/>
        <v>2</v>
      </c>
      <c r="J50" s="2">
        <f t="shared" si="6"/>
        <v>163</v>
      </c>
      <c r="K50" t="s">
        <v>18</v>
      </c>
      <c r="L50" s="6">
        <f t="shared" si="7"/>
        <v>59.5</v>
      </c>
      <c r="M50" s="24">
        <f>SUM(H$2:H50)</f>
        <v>6552.7</v>
      </c>
      <c r="N50" s="24">
        <v>0</v>
      </c>
      <c r="P50" s="24">
        <v>8</v>
      </c>
      <c r="Q50" s="24">
        <v>0</v>
      </c>
      <c r="R50" t="s">
        <v>81</v>
      </c>
      <c r="S50" s="6">
        <f>VLOOKUP(Table1[[#This Row],[Route]],'Dropdown Lists'!$M$2:$N$7,2,FALSE)</f>
        <v>13.5</v>
      </c>
      <c r="T50" s="6"/>
      <c r="U50" s="51"/>
    </row>
    <row r="51" spans="1:21" x14ac:dyDescent="0.45">
      <c r="A51">
        <f t="shared" si="0"/>
        <v>40</v>
      </c>
      <c r="D51" s="10">
        <v>45205</v>
      </c>
      <c r="E51" s="1" t="str">
        <f t="shared" si="3"/>
        <v>Friday</v>
      </c>
      <c r="F51" t="s">
        <v>16</v>
      </c>
      <c r="G51" s="6">
        <v>190</v>
      </c>
      <c r="H51" s="47">
        <f t="shared" si="4"/>
        <v>182</v>
      </c>
      <c r="I51" s="24">
        <f t="shared" si="8"/>
        <v>2</v>
      </c>
      <c r="J51" s="2">
        <f t="shared" si="6"/>
        <v>165</v>
      </c>
      <c r="K51" t="s">
        <v>18</v>
      </c>
      <c r="L51" s="6">
        <f t="shared" si="7"/>
        <v>91</v>
      </c>
      <c r="M51" s="24">
        <f>SUM(H$2:H51)</f>
        <v>6734.7</v>
      </c>
      <c r="N51" s="24">
        <v>0</v>
      </c>
      <c r="P51" s="24">
        <v>8</v>
      </c>
      <c r="Q51" s="24">
        <v>0</v>
      </c>
      <c r="R51" t="s">
        <v>81</v>
      </c>
      <c r="S51" s="6">
        <f>VLOOKUP(Table1[[#This Row],[Route]],'Dropdown Lists'!$M$2:$N$7,2,FALSE)</f>
        <v>13.5</v>
      </c>
      <c r="T51" s="6"/>
      <c r="U51" s="51"/>
    </row>
    <row r="52" spans="1:21" x14ac:dyDescent="0.45">
      <c r="A52">
        <f t="shared" si="0"/>
        <v>41</v>
      </c>
      <c r="D52" s="10">
        <v>45208</v>
      </c>
      <c r="E52" s="1" t="str">
        <f t="shared" si="3"/>
        <v>Monday</v>
      </c>
      <c r="F52" t="s">
        <v>16</v>
      </c>
      <c r="G52" s="6">
        <v>120</v>
      </c>
      <c r="H52" s="47">
        <f t="shared" si="4"/>
        <v>112</v>
      </c>
      <c r="I52" s="24">
        <f t="shared" si="8"/>
        <v>3</v>
      </c>
      <c r="J52" s="2">
        <f t="shared" si="6"/>
        <v>168</v>
      </c>
      <c r="K52" t="s">
        <v>18</v>
      </c>
      <c r="L52" s="6">
        <f t="shared" si="7"/>
        <v>37.333333333333336</v>
      </c>
      <c r="M52" s="24">
        <f>SUM(H$2:H52)</f>
        <v>6846.7</v>
      </c>
      <c r="N52" s="24">
        <v>0</v>
      </c>
      <c r="P52" s="24">
        <v>8</v>
      </c>
      <c r="Q52" s="24">
        <v>0</v>
      </c>
      <c r="R52" t="s">
        <v>81</v>
      </c>
      <c r="S52" s="6">
        <f>VLOOKUP(Table1[[#This Row],[Route]],'Dropdown Lists'!$M$2:$N$7,2,FALSE)</f>
        <v>13.5</v>
      </c>
      <c r="T52" s="6"/>
      <c r="U52" s="51"/>
    </row>
    <row r="53" spans="1:21" x14ac:dyDescent="0.45">
      <c r="A53">
        <f t="shared" si="0"/>
        <v>41</v>
      </c>
      <c r="D53" s="10">
        <v>45210</v>
      </c>
      <c r="E53" s="1" t="str">
        <f t="shared" si="3"/>
        <v>Wednesday</v>
      </c>
      <c r="F53" t="s">
        <v>16</v>
      </c>
      <c r="G53" s="6">
        <v>146.5</v>
      </c>
      <c r="H53" s="47">
        <f t="shared" si="4"/>
        <v>138.5</v>
      </c>
      <c r="I53" s="24">
        <f t="shared" si="8"/>
        <v>2</v>
      </c>
      <c r="J53" s="2">
        <f t="shared" si="6"/>
        <v>170</v>
      </c>
      <c r="K53" t="s">
        <v>18</v>
      </c>
      <c r="L53" s="6">
        <f t="shared" si="7"/>
        <v>69.25</v>
      </c>
      <c r="M53" s="24">
        <f>SUM(H$2:H53)</f>
        <v>6985.2</v>
      </c>
      <c r="N53" s="24">
        <v>0</v>
      </c>
      <c r="P53" s="24">
        <v>13.5</v>
      </c>
      <c r="Q53" s="24">
        <v>7.8</v>
      </c>
      <c r="R53" t="s">
        <v>81</v>
      </c>
      <c r="S53" s="6">
        <f>VLOOKUP(Table1[[#This Row],[Route]],'Dropdown Lists'!$M$2:$N$7,2,FALSE)</f>
        <v>13.5</v>
      </c>
      <c r="T53" s="6"/>
      <c r="U53" s="51"/>
    </row>
    <row r="54" spans="1:21" x14ac:dyDescent="0.45">
      <c r="A54">
        <f t="shared" si="0"/>
        <v>41</v>
      </c>
      <c r="D54" s="10">
        <v>45212</v>
      </c>
      <c r="E54" s="1" t="str">
        <f t="shared" si="3"/>
        <v>Friday</v>
      </c>
      <c r="F54" t="s">
        <v>16</v>
      </c>
      <c r="G54" s="6">
        <v>155.5</v>
      </c>
      <c r="H54" s="47">
        <f t="shared" si="4"/>
        <v>147.5</v>
      </c>
      <c r="I54" s="24">
        <f t="shared" si="8"/>
        <v>2</v>
      </c>
      <c r="J54" s="2">
        <f t="shared" si="6"/>
        <v>172</v>
      </c>
      <c r="K54" t="s">
        <v>18</v>
      </c>
      <c r="L54" s="6">
        <f t="shared" si="7"/>
        <v>73.75</v>
      </c>
      <c r="M54" s="24">
        <f>SUM(H$2:H54)</f>
        <v>7132.7</v>
      </c>
      <c r="N54" s="24">
        <v>0</v>
      </c>
      <c r="P54" s="24">
        <f>6.5+3+5.5</f>
        <v>15</v>
      </c>
      <c r="Q54" s="24">
        <v>10.5</v>
      </c>
      <c r="R54" t="s">
        <v>81</v>
      </c>
      <c r="S54" s="6">
        <f>VLOOKUP(Table1[[#This Row],[Route]],'Dropdown Lists'!$M$2:$N$7,2,FALSE)</f>
        <v>13.5</v>
      </c>
      <c r="T54" s="6"/>
      <c r="U54" s="51"/>
    </row>
    <row r="55" spans="1:21" x14ac:dyDescent="0.45">
      <c r="A55">
        <f t="shared" si="0"/>
        <v>42</v>
      </c>
      <c r="D55" s="10">
        <v>45214</v>
      </c>
      <c r="E55" s="1" t="str">
        <f t="shared" si="3"/>
        <v>Sunday</v>
      </c>
      <c r="F55" t="s">
        <v>16</v>
      </c>
      <c r="G55" s="6">
        <v>175</v>
      </c>
      <c r="H55" s="47">
        <f t="shared" si="4"/>
        <v>167</v>
      </c>
      <c r="I55" s="24">
        <f t="shared" si="8"/>
        <v>2</v>
      </c>
      <c r="J55" s="2">
        <f t="shared" si="6"/>
        <v>174</v>
      </c>
      <c r="K55" t="s">
        <v>18</v>
      </c>
      <c r="L55" s="6">
        <f t="shared" si="7"/>
        <v>83.5</v>
      </c>
      <c r="M55" s="24">
        <f>SUM(H$2:H55)</f>
        <v>7299.7</v>
      </c>
      <c r="N55" s="24">
        <v>0</v>
      </c>
      <c r="P55" s="24">
        <v>10</v>
      </c>
      <c r="Q55" s="24">
        <v>10</v>
      </c>
      <c r="R55" t="s">
        <v>80</v>
      </c>
      <c r="S55" s="6">
        <f>VLOOKUP(Table1[[#This Row],[Route]],'Dropdown Lists'!$M$2:$N$7,2,FALSE)</f>
        <v>11.4</v>
      </c>
      <c r="T55" s="6"/>
      <c r="U55" s="51"/>
    </row>
    <row r="56" spans="1:21" x14ac:dyDescent="0.45">
      <c r="A56">
        <f t="shared" si="0"/>
        <v>42</v>
      </c>
      <c r="D56" s="10">
        <v>45216</v>
      </c>
      <c r="E56" s="1" t="str">
        <f t="shared" si="3"/>
        <v>Tuesday</v>
      </c>
      <c r="F56" t="s">
        <v>16</v>
      </c>
      <c r="G56" s="6">
        <v>66</v>
      </c>
      <c r="H56" s="47">
        <f t="shared" si="4"/>
        <v>58</v>
      </c>
      <c r="I56" s="24">
        <f t="shared" si="8"/>
        <v>2</v>
      </c>
      <c r="J56" s="2">
        <f t="shared" si="6"/>
        <v>176</v>
      </c>
      <c r="K56" t="s">
        <v>18</v>
      </c>
      <c r="L56" s="6">
        <f t="shared" si="7"/>
        <v>29</v>
      </c>
      <c r="M56" s="24">
        <f>SUM(H$2:H56)</f>
        <v>7357.7</v>
      </c>
      <c r="N56" s="24">
        <v>0</v>
      </c>
      <c r="P56" s="24">
        <v>10</v>
      </c>
      <c r="Q56" s="24">
        <v>0</v>
      </c>
      <c r="R56" t="s">
        <v>81</v>
      </c>
      <c r="S56" s="6">
        <f>VLOOKUP(Table1[[#This Row],[Route]],'Dropdown Lists'!$M$2:$N$7,2,FALSE)</f>
        <v>13.5</v>
      </c>
      <c r="T56" s="6"/>
      <c r="U56" s="51"/>
    </row>
    <row r="57" spans="1:21" x14ac:dyDescent="0.45">
      <c r="A57">
        <f t="shared" si="0"/>
        <v>42</v>
      </c>
      <c r="D57" s="10">
        <v>45218</v>
      </c>
      <c r="E57" s="1" t="str">
        <f t="shared" si="3"/>
        <v>Thursday</v>
      </c>
      <c r="F57" t="s">
        <v>16</v>
      </c>
      <c r="G57" s="6">
        <v>104</v>
      </c>
      <c r="H57" s="47">
        <f t="shared" si="4"/>
        <v>96</v>
      </c>
      <c r="I57" s="24">
        <f t="shared" si="8"/>
        <v>2</v>
      </c>
      <c r="J57" s="2">
        <f t="shared" si="6"/>
        <v>178</v>
      </c>
      <c r="K57" t="s">
        <v>18</v>
      </c>
      <c r="L57" s="6">
        <f t="shared" si="7"/>
        <v>48</v>
      </c>
      <c r="M57" s="24">
        <f>SUM(H$2:H57)</f>
        <v>7453.7</v>
      </c>
      <c r="N57" s="24">
        <v>0</v>
      </c>
      <c r="P57" s="24">
        <v>20</v>
      </c>
      <c r="Q57" s="24">
        <v>8</v>
      </c>
      <c r="R57" t="s">
        <v>81</v>
      </c>
      <c r="S57" s="6">
        <f>VLOOKUP(Table1[[#This Row],[Route]],'Dropdown Lists'!$M$2:$N$7,2,FALSE)</f>
        <v>13.5</v>
      </c>
      <c r="T57" s="6"/>
      <c r="U57" s="51"/>
    </row>
    <row r="58" spans="1:21" x14ac:dyDescent="0.45">
      <c r="A58">
        <f t="shared" si="0"/>
        <v>42</v>
      </c>
      <c r="D58" s="10">
        <v>45220</v>
      </c>
      <c r="E58" s="1" t="str">
        <f t="shared" si="3"/>
        <v>Saturday</v>
      </c>
      <c r="F58" t="s">
        <v>16</v>
      </c>
      <c r="G58" s="6">
        <v>203</v>
      </c>
      <c r="H58" s="47">
        <f t="shared" si="4"/>
        <v>195</v>
      </c>
      <c r="I58" s="24">
        <f t="shared" si="8"/>
        <v>2</v>
      </c>
      <c r="J58" s="2">
        <f t="shared" si="6"/>
        <v>180</v>
      </c>
      <c r="K58" t="s">
        <v>5</v>
      </c>
      <c r="L58" s="6">
        <f t="shared" si="7"/>
        <v>97.5</v>
      </c>
      <c r="M58" s="24">
        <f>SUM(H$2:H58)</f>
        <v>7648.7</v>
      </c>
      <c r="N58" s="24">
        <v>0</v>
      </c>
      <c r="P58" s="24">
        <v>8</v>
      </c>
      <c r="Q58" s="24">
        <v>5.5</v>
      </c>
      <c r="R58" t="s">
        <v>80</v>
      </c>
      <c r="S58" s="6">
        <f>VLOOKUP(Table1[[#This Row],[Route]],'Dropdown Lists'!$M$2:$N$7,2,FALSE)</f>
        <v>11.4</v>
      </c>
      <c r="T58" s="6"/>
      <c r="U58" s="51"/>
    </row>
    <row r="59" spans="1:21" x14ac:dyDescent="0.45">
      <c r="A59">
        <f t="shared" si="0"/>
        <v>43</v>
      </c>
      <c r="D59" s="10">
        <v>45223</v>
      </c>
      <c r="E59" s="1" t="str">
        <f t="shared" si="3"/>
        <v>Tuesday</v>
      </c>
      <c r="F59" t="s">
        <v>16</v>
      </c>
      <c r="G59" s="6">
        <v>215.5</v>
      </c>
      <c r="H59" s="47">
        <f t="shared" si="4"/>
        <v>207.5</v>
      </c>
      <c r="I59" s="24">
        <f t="shared" si="8"/>
        <v>3</v>
      </c>
      <c r="J59" s="2">
        <f t="shared" si="6"/>
        <v>183</v>
      </c>
      <c r="K59" t="s">
        <v>18</v>
      </c>
      <c r="L59" s="6">
        <f t="shared" si="7"/>
        <v>69.166666666666671</v>
      </c>
      <c r="M59" s="24">
        <f>SUM(H$2:H59)</f>
        <v>7856.2</v>
      </c>
      <c r="N59" s="24">
        <v>0</v>
      </c>
      <c r="P59" s="24">
        <v>3.5</v>
      </c>
      <c r="Q59" s="24">
        <v>3.5</v>
      </c>
      <c r="R59" t="s">
        <v>81</v>
      </c>
      <c r="S59" s="6">
        <f>VLOOKUP(Table1[[#This Row],[Route]],'Dropdown Lists'!$M$2:$N$7,2,FALSE)</f>
        <v>13.5</v>
      </c>
      <c r="T59" s="6"/>
      <c r="U59" s="51"/>
    </row>
    <row r="60" spans="1:21" x14ac:dyDescent="0.45">
      <c r="A60">
        <f t="shared" si="0"/>
        <v>43</v>
      </c>
      <c r="D60" s="10">
        <v>45225</v>
      </c>
      <c r="E60" s="1" t="str">
        <f t="shared" si="3"/>
        <v>Thursday</v>
      </c>
      <c r="F60" t="s">
        <v>16</v>
      </c>
      <c r="G60" s="6">
        <v>98</v>
      </c>
      <c r="H60" s="47">
        <f t="shared" si="4"/>
        <v>90</v>
      </c>
      <c r="I60" s="24">
        <f t="shared" si="8"/>
        <v>2</v>
      </c>
      <c r="J60" s="2">
        <f t="shared" si="6"/>
        <v>185</v>
      </c>
      <c r="K60" t="s">
        <v>18</v>
      </c>
      <c r="L60" s="6">
        <f t="shared" si="7"/>
        <v>45</v>
      </c>
      <c r="M60" s="24">
        <f>SUM(H$2:H60)</f>
        <v>7946.2</v>
      </c>
      <c r="N60" s="24">
        <v>0</v>
      </c>
      <c r="P60" s="24">
        <v>18</v>
      </c>
      <c r="Q60" s="24">
        <v>23</v>
      </c>
      <c r="R60" t="s">
        <v>81</v>
      </c>
      <c r="S60" s="6">
        <f>VLOOKUP(Table1[[#This Row],[Route]],'Dropdown Lists'!$M$2:$N$7,2,FALSE)</f>
        <v>13.5</v>
      </c>
      <c r="T60" s="6"/>
      <c r="U60" s="51"/>
    </row>
    <row r="61" spans="1:21" x14ac:dyDescent="0.45">
      <c r="A61">
        <f t="shared" si="0"/>
        <v>44</v>
      </c>
      <c r="D61" s="10">
        <v>45228</v>
      </c>
      <c r="E61" s="1" t="str">
        <f t="shared" si="3"/>
        <v>Sunday</v>
      </c>
      <c r="F61" t="s">
        <v>16</v>
      </c>
      <c r="G61" s="6">
        <v>108</v>
      </c>
      <c r="H61" s="47">
        <f t="shared" si="4"/>
        <v>100</v>
      </c>
      <c r="I61" s="24">
        <f t="shared" si="8"/>
        <v>3</v>
      </c>
      <c r="J61" s="2">
        <f t="shared" si="6"/>
        <v>188</v>
      </c>
      <c r="K61" t="s">
        <v>18</v>
      </c>
      <c r="L61" s="6">
        <f t="shared" si="7"/>
        <v>33.333333333333336</v>
      </c>
      <c r="M61" s="24">
        <f>SUM(H$2:H61)</f>
        <v>8046.2</v>
      </c>
      <c r="N61" s="24">
        <v>0</v>
      </c>
      <c r="P61" s="24">
        <v>0</v>
      </c>
      <c r="Q61" s="24">
        <v>0</v>
      </c>
      <c r="R61" t="s">
        <v>80</v>
      </c>
      <c r="S61" s="6">
        <f>VLOOKUP(Table1[[#This Row],[Route]],'Dropdown Lists'!$M$2:$N$7,2,FALSE)</f>
        <v>11.4</v>
      </c>
      <c r="T61" s="6"/>
      <c r="U61" s="51"/>
    </row>
    <row r="62" spans="1:21" x14ac:dyDescent="0.45">
      <c r="A62">
        <f t="shared" si="0"/>
        <v>44</v>
      </c>
      <c r="D62" s="10">
        <v>45229</v>
      </c>
      <c r="E62" s="1" t="str">
        <f t="shared" si="3"/>
        <v>Monday</v>
      </c>
      <c r="F62" t="s">
        <v>16</v>
      </c>
      <c r="G62" s="6">
        <v>194</v>
      </c>
      <c r="H62" s="47">
        <f t="shared" si="4"/>
        <v>186</v>
      </c>
      <c r="I62" s="24">
        <f t="shared" si="8"/>
        <v>1</v>
      </c>
      <c r="J62" s="2">
        <f t="shared" si="6"/>
        <v>189</v>
      </c>
      <c r="K62" t="s">
        <v>18</v>
      </c>
      <c r="L62" s="6">
        <f t="shared" si="7"/>
        <v>186</v>
      </c>
      <c r="M62" s="24">
        <f>SUM(H$2:H62)</f>
        <v>8232.2000000000007</v>
      </c>
      <c r="N62" s="24">
        <v>0</v>
      </c>
      <c r="P62" s="24">
        <v>15</v>
      </c>
      <c r="Q62" s="24">
        <v>0</v>
      </c>
      <c r="R62" t="s">
        <v>81</v>
      </c>
      <c r="S62" s="6">
        <f>VLOOKUP(Table1[[#This Row],[Route]],'Dropdown Lists'!$M$2:$N$7,2,FALSE)</f>
        <v>13.5</v>
      </c>
      <c r="T62" s="6"/>
      <c r="U62" s="51"/>
    </row>
    <row r="63" spans="1:21" x14ac:dyDescent="0.45">
      <c r="A63">
        <f t="shared" si="0"/>
        <v>44</v>
      </c>
      <c r="D63" s="10">
        <v>45231</v>
      </c>
      <c r="E63" s="1" t="str">
        <f t="shared" si="3"/>
        <v>Wednesday</v>
      </c>
      <c r="F63" t="s">
        <v>16</v>
      </c>
      <c r="G63" s="6">
        <v>153.5</v>
      </c>
      <c r="H63" s="47">
        <f t="shared" si="4"/>
        <v>145.5</v>
      </c>
      <c r="I63" s="24">
        <f t="shared" si="8"/>
        <v>2</v>
      </c>
      <c r="J63" s="2">
        <f t="shared" si="6"/>
        <v>191</v>
      </c>
      <c r="K63" t="s">
        <v>18</v>
      </c>
      <c r="L63" s="6">
        <f t="shared" si="7"/>
        <v>72.75</v>
      </c>
      <c r="M63" s="24">
        <f>SUM(H$2:H63)</f>
        <v>8377.7000000000007</v>
      </c>
      <c r="N63" s="24">
        <v>0</v>
      </c>
      <c r="P63" s="24">
        <v>0</v>
      </c>
      <c r="Q63" s="24">
        <v>0</v>
      </c>
      <c r="R63" t="s">
        <v>81</v>
      </c>
      <c r="S63" s="6">
        <f>VLOOKUP(Table1[[#This Row],[Route]],'Dropdown Lists'!$M$2:$N$7,2,FALSE)</f>
        <v>13.5</v>
      </c>
      <c r="T63" s="6"/>
      <c r="U63" s="51"/>
    </row>
    <row r="64" spans="1:21" x14ac:dyDescent="0.45">
      <c r="A64">
        <f t="shared" si="0"/>
        <v>44</v>
      </c>
      <c r="D64" s="10">
        <v>45233</v>
      </c>
      <c r="E64" s="1" t="str">
        <f t="shared" si="3"/>
        <v>Friday</v>
      </c>
      <c r="F64" t="s">
        <v>16</v>
      </c>
      <c r="G64" s="6">
        <v>181</v>
      </c>
      <c r="H64" s="47">
        <f t="shared" si="4"/>
        <v>173</v>
      </c>
      <c r="I64" s="24">
        <f t="shared" si="8"/>
        <v>2</v>
      </c>
      <c r="J64" s="2">
        <f t="shared" si="6"/>
        <v>193</v>
      </c>
      <c r="K64" t="s">
        <v>18</v>
      </c>
      <c r="L64" s="6">
        <f t="shared" si="7"/>
        <v>86.5</v>
      </c>
      <c r="M64" s="24">
        <f>SUM(H$2:H64)</f>
        <v>8550.7000000000007</v>
      </c>
      <c r="N64" s="24">
        <v>0</v>
      </c>
      <c r="P64" s="24">
        <v>4</v>
      </c>
      <c r="Q64" s="24">
        <v>19</v>
      </c>
      <c r="R64" t="s">
        <v>81</v>
      </c>
      <c r="S64" s="6">
        <f>VLOOKUP(Table1[[#This Row],[Route]],'Dropdown Lists'!$M$2:$N$7,2,FALSE)</f>
        <v>13.5</v>
      </c>
      <c r="T64" s="6"/>
      <c r="U64" s="51"/>
    </row>
    <row r="65" spans="1:21" x14ac:dyDescent="0.45">
      <c r="A65">
        <f t="shared" si="0"/>
        <v>45</v>
      </c>
      <c r="D65" s="10">
        <v>45236</v>
      </c>
      <c r="E65" s="1" t="str">
        <f t="shared" si="3"/>
        <v>Monday</v>
      </c>
      <c r="F65" t="s">
        <v>16</v>
      </c>
      <c r="G65" s="6">
        <v>171</v>
      </c>
      <c r="H65" s="47">
        <f t="shared" si="4"/>
        <v>163</v>
      </c>
      <c r="I65" s="24">
        <f t="shared" si="8"/>
        <v>3</v>
      </c>
      <c r="J65" s="2">
        <f t="shared" si="6"/>
        <v>196</v>
      </c>
      <c r="K65" t="s">
        <v>18</v>
      </c>
      <c r="L65" s="6">
        <f t="shared" si="7"/>
        <v>54.333333333333336</v>
      </c>
      <c r="M65" s="24">
        <f>SUM(H$2:H65)</f>
        <v>8713.7000000000007</v>
      </c>
      <c r="N65" s="24">
        <v>0</v>
      </c>
      <c r="P65" s="24">
        <v>5</v>
      </c>
      <c r="Q65" s="24">
        <v>10.5</v>
      </c>
      <c r="R65" t="s">
        <v>81</v>
      </c>
      <c r="S65" s="6">
        <f>VLOOKUP(Table1[[#This Row],[Route]],'Dropdown Lists'!$M$2:$N$7,2,FALSE)</f>
        <v>13.5</v>
      </c>
      <c r="T65" s="6"/>
      <c r="U65" s="51"/>
    </row>
    <row r="66" spans="1:21" x14ac:dyDescent="0.45">
      <c r="A66">
        <f t="shared" ref="A66:A129" si="9">WEEKNUM(D66,1)</f>
        <v>45</v>
      </c>
      <c r="D66" s="10">
        <v>45238</v>
      </c>
      <c r="E66" s="1" t="str">
        <f t="shared" ref="E66:E129" si="10">TEXT(D66,"dddd")</f>
        <v>Wednesday</v>
      </c>
      <c r="F66" t="s">
        <v>16</v>
      </c>
      <c r="G66" s="6">
        <v>141.5</v>
      </c>
      <c r="H66" s="47">
        <f t="shared" ref="H66:H129" si="11">G66-8</f>
        <v>133.5</v>
      </c>
      <c r="I66" s="24">
        <f t="shared" si="8"/>
        <v>2</v>
      </c>
      <c r="J66" s="2">
        <f t="shared" si="6"/>
        <v>198</v>
      </c>
      <c r="K66" t="s">
        <v>18</v>
      </c>
      <c r="L66" s="6">
        <f t="shared" si="7"/>
        <v>66.75</v>
      </c>
      <c r="M66" s="24">
        <f>SUM(H$2:H66)</f>
        <v>8847.2000000000007</v>
      </c>
      <c r="N66" s="24">
        <v>0</v>
      </c>
      <c r="P66" s="24">
        <v>0</v>
      </c>
      <c r="Q66" s="24">
        <v>0</v>
      </c>
      <c r="R66" t="s">
        <v>81</v>
      </c>
      <c r="S66" s="6">
        <f>VLOOKUP(Table1[[#This Row],[Route]],'Dropdown Lists'!$M$2:$N$7,2,FALSE)</f>
        <v>13.5</v>
      </c>
      <c r="T66" s="6"/>
      <c r="U66" s="51"/>
    </row>
    <row r="67" spans="1:21" x14ac:dyDescent="0.45">
      <c r="A67">
        <f t="shared" si="9"/>
        <v>45</v>
      </c>
      <c r="D67" s="10">
        <v>45240</v>
      </c>
      <c r="E67" s="1" t="str">
        <f t="shared" si="10"/>
        <v>Friday</v>
      </c>
      <c r="F67" t="s">
        <v>16</v>
      </c>
      <c r="G67" s="6">
        <v>152</v>
      </c>
      <c r="H67" s="47">
        <f t="shared" si="11"/>
        <v>144</v>
      </c>
      <c r="I67" s="24">
        <f t="shared" ref="I67:I98" si="12">IF(D67-D66&lt;0, 0, D67-D66)</f>
        <v>2</v>
      </c>
      <c r="J67" s="2">
        <f t="shared" ref="J67:J130" si="13">D67-$D$2</f>
        <v>200</v>
      </c>
      <c r="K67" t="s">
        <v>18</v>
      </c>
      <c r="L67" s="6">
        <f t="shared" ref="L67:L130" si="14">H67/I67</f>
        <v>72</v>
      </c>
      <c r="M67" s="24">
        <f>SUM(H$2:H67)</f>
        <v>8991.2000000000007</v>
      </c>
      <c r="N67" s="24">
        <v>0</v>
      </c>
      <c r="P67" s="24">
        <v>17.5</v>
      </c>
      <c r="Q67" s="24">
        <v>13</v>
      </c>
      <c r="R67" t="s">
        <v>81</v>
      </c>
      <c r="S67" s="6">
        <f>VLOOKUP(Table1[[#This Row],[Route]],'Dropdown Lists'!$M$2:$N$7,2,FALSE)</f>
        <v>13.5</v>
      </c>
      <c r="T67" s="6"/>
      <c r="U67" s="51"/>
    </row>
    <row r="68" spans="1:21" x14ac:dyDescent="0.45">
      <c r="A68">
        <f t="shared" si="9"/>
        <v>46</v>
      </c>
      <c r="D68" s="10">
        <v>45242</v>
      </c>
      <c r="E68" s="1" t="str">
        <f t="shared" si="10"/>
        <v>Sunday</v>
      </c>
      <c r="F68" t="s">
        <v>16</v>
      </c>
      <c r="G68" s="6">
        <v>75</v>
      </c>
      <c r="H68" s="47">
        <f t="shared" si="11"/>
        <v>67</v>
      </c>
      <c r="I68" s="24">
        <f t="shared" si="12"/>
        <v>2</v>
      </c>
      <c r="J68" s="2">
        <f t="shared" si="13"/>
        <v>202</v>
      </c>
      <c r="K68" t="s">
        <v>18</v>
      </c>
      <c r="L68" s="6">
        <f t="shared" si="14"/>
        <v>33.5</v>
      </c>
      <c r="M68" s="24">
        <f>SUM(H$2:H68)</f>
        <v>9058.2000000000007</v>
      </c>
      <c r="N68" s="24">
        <v>0</v>
      </c>
      <c r="P68" s="24">
        <v>1.5</v>
      </c>
      <c r="Q68" s="24">
        <f>18.5+1+8.5+3+16.5+5</f>
        <v>52.5</v>
      </c>
      <c r="R68" t="s">
        <v>80</v>
      </c>
      <c r="S68" s="6">
        <f>VLOOKUP(Table1[[#This Row],[Route]],'Dropdown Lists'!$M$2:$N$7,2,FALSE)</f>
        <v>11.4</v>
      </c>
      <c r="T68" s="6"/>
      <c r="U68" s="51"/>
    </row>
    <row r="69" spans="1:21" x14ac:dyDescent="0.45">
      <c r="A69">
        <f t="shared" si="9"/>
        <v>47</v>
      </c>
      <c r="D69" s="10">
        <v>45250</v>
      </c>
      <c r="E69" s="1" t="str">
        <f t="shared" si="10"/>
        <v>Monday</v>
      </c>
      <c r="F69" t="s">
        <v>16</v>
      </c>
      <c r="G69" s="6">
        <f>257+167+154</f>
        <v>578</v>
      </c>
      <c r="H69" s="47">
        <f t="shared" si="11"/>
        <v>570</v>
      </c>
      <c r="I69" s="24">
        <f t="shared" si="12"/>
        <v>8</v>
      </c>
      <c r="J69" s="2">
        <f t="shared" si="13"/>
        <v>210</v>
      </c>
      <c r="K69" t="s">
        <v>18</v>
      </c>
      <c r="L69" s="6">
        <f t="shared" si="14"/>
        <v>71.25</v>
      </c>
      <c r="M69" s="24">
        <f>SUM(H$2:H69)</f>
        <v>9628.2000000000007</v>
      </c>
      <c r="N69" s="24">
        <v>0</v>
      </c>
      <c r="P69" s="24">
        <v>32.5</v>
      </c>
      <c r="Q69" s="24">
        <v>0</v>
      </c>
      <c r="R69" t="s">
        <v>80</v>
      </c>
      <c r="S69" s="6">
        <f>VLOOKUP(Table1[[#This Row],[Route]],'Dropdown Lists'!$M$2:$N$7,2,FALSE)</f>
        <v>11.4</v>
      </c>
      <c r="T69" s="6"/>
      <c r="U69" s="51"/>
    </row>
    <row r="70" spans="1:21" x14ac:dyDescent="0.45">
      <c r="A70">
        <f t="shared" si="9"/>
        <v>47</v>
      </c>
      <c r="D70" s="10">
        <v>45252</v>
      </c>
      <c r="E70" s="1" t="str">
        <f t="shared" si="10"/>
        <v>Wednesday</v>
      </c>
      <c r="F70" t="s">
        <v>16</v>
      </c>
      <c r="G70" s="6">
        <v>160</v>
      </c>
      <c r="H70" s="47">
        <f t="shared" si="11"/>
        <v>152</v>
      </c>
      <c r="I70" s="24">
        <f t="shared" si="12"/>
        <v>2</v>
      </c>
      <c r="J70" s="2">
        <f t="shared" si="13"/>
        <v>212</v>
      </c>
      <c r="K70" t="s">
        <v>18</v>
      </c>
      <c r="L70" s="6">
        <f t="shared" si="14"/>
        <v>76</v>
      </c>
      <c r="M70" s="24">
        <f>SUM(H$2:H70)</f>
        <v>9780.2000000000007</v>
      </c>
      <c r="N70" s="24">
        <v>0</v>
      </c>
      <c r="P70" s="24">
        <v>10</v>
      </c>
      <c r="Q70" s="24">
        <v>3</v>
      </c>
      <c r="R70" t="s">
        <v>80</v>
      </c>
      <c r="S70" s="6">
        <f>VLOOKUP(Table1[[#This Row],[Route]],'Dropdown Lists'!$M$2:$N$7,2,FALSE)</f>
        <v>11.4</v>
      </c>
      <c r="T70" s="6"/>
      <c r="U70" s="51"/>
    </row>
    <row r="71" spans="1:21" x14ac:dyDescent="0.45">
      <c r="A71">
        <f t="shared" si="9"/>
        <v>48</v>
      </c>
      <c r="D71" s="10">
        <v>45256</v>
      </c>
      <c r="E71" s="1" t="str">
        <f t="shared" si="10"/>
        <v>Sunday</v>
      </c>
      <c r="F71" t="s">
        <v>16</v>
      </c>
      <c r="G71" s="6">
        <v>157</v>
      </c>
      <c r="H71" s="47">
        <f t="shared" si="11"/>
        <v>149</v>
      </c>
      <c r="I71" s="24">
        <f t="shared" si="12"/>
        <v>4</v>
      </c>
      <c r="J71" s="2">
        <f t="shared" si="13"/>
        <v>216</v>
      </c>
      <c r="K71" t="s">
        <v>18</v>
      </c>
      <c r="L71" s="6">
        <f t="shared" si="14"/>
        <v>37.25</v>
      </c>
      <c r="M71" s="24">
        <f>SUM(H$2:H71)</f>
        <v>9929.2000000000007</v>
      </c>
      <c r="N71" s="24">
        <v>0</v>
      </c>
      <c r="P71" s="24">
        <v>2</v>
      </c>
      <c r="Q71" s="24">
        <f>23+23.5+31.5</f>
        <v>78</v>
      </c>
      <c r="R71" t="s">
        <v>80</v>
      </c>
      <c r="S71" s="6">
        <f>VLOOKUP(Table1[[#This Row],[Route]],'Dropdown Lists'!$M$2:$N$7,2,FALSE)</f>
        <v>11.4</v>
      </c>
      <c r="T71" s="6"/>
      <c r="U71" s="51"/>
    </row>
    <row r="72" spans="1:21" x14ac:dyDescent="0.45">
      <c r="A72">
        <f t="shared" si="9"/>
        <v>48</v>
      </c>
      <c r="D72" s="10">
        <v>45258</v>
      </c>
      <c r="E72" s="1" t="str">
        <f t="shared" si="10"/>
        <v>Tuesday</v>
      </c>
      <c r="F72" t="s">
        <v>16</v>
      </c>
      <c r="G72" s="6">
        <v>107.5</v>
      </c>
      <c r="H72" s="47">
        <f t="shared" si="11"/>
        <v>99.5</v>
      </c>
      <c r="I72" s="24">
        <f t="shared" si="12"/>
        <v>2</v>
      </c>
      <c r="J72" s="2">
        <f t="shared" si="13"/>
        <v>218</v>
      </c>
      <c r="K72" t="s">
        <v>18</v>
      </c>
      <c r="L72" s="6">
        <f t="shared" si="14"/>
        <v>49.75</v>
      </c>
      <c r="M72" s="24">
        <f>SUM(H$2:H72)</f>
        <v>10028.700000000001</v>
      </c>
      <c r="N72" s="24">
        <v>0</v>
      </c>
      <c r="P72" s="24">
        <f>21+6</f>
        <v>27</v>
      </c>
      <c r="Q72" s="24">
        <v>32</v>
      </c>
      <c r="R72" t="s">
        <v>80</v>
      </c>
      <c r="S72" s="6">
        <f>VLOOKUP(Table1[[#This Row],[Route]],'Dropdown Lists'!$M$2:$N$7,2,FALSE)</f>
        <v>11.4</v>
      </c>
      <c r="T72" s="6"/>
      <c r="U72" s="51"/>
    </row>
    <row r="73" spans="1:21" x14ac:dyDescent="0.45">
      <c r="A73">
        <f t="shared" si="9"/>
        <v>48</v>
      </c>
      <c r="D73" s="10">
        <v>45260</v>
      </c>
      <c r="E73" s="1" t="str">
        <f t="shared" si="10"/>
        <v>Thursday</v>
      </c>
      <c r="F73" t="s">
        <v>16</v>
      </c>
      <c r="G73" s="6">
        <v>149</v>
      </c>
      <c r="H73" s="47">
        <f t="shared" si="11"/>
        <v>141</v>
      </c>
      <c r="I73" s="24">
        <f t="shared" si="12"/>
        <v>2</v>
      </c>
      <c r="J73" s="2">
        <f t="shared" si="13"/>
        <v>220</v>
      </c>
      <c r="K73" t="s">
        <v>18</v>
      </c>
      <c r="L73" s="6">
        <f t="shared" si="14"/>
        <v>70.5</v>
      </c>
      <c r="M73" s="24">
        <f>SUM(H$2:H73)</f>
        <v>10169.700000000001</v>
      </c>
      <c r="N73" s="24">
        <v>0</v>
      </c>
      <c r="P73" s="24">
        <v>20</v>
      </c>
      <c r="Q73" s="24">
        <v>10</v>
      </c>
      <c r="R73" t="s">
        <v>80</v>
      </c>
      <c r="S73" s="6">
        <f>VLOOKUP(Table1[[#This Row],[Route]],'Dropdown Lists'!$M$2:$N$7,2,FALSE)</f>
        <v>11.4</v>
      </c>
      <c r="T73" s="6"/>
      <c r="U73" s="51"/>
    </row>
    <row r="74" spans="1:21" x14ac:dyDescent="0.45">
      <c r="A74">
        <f t="shared" si="9"/>
        <v>48</v>
      </c>
      <c r="D74" s="10">
        <v>45262</v>
      </c>
      <c r="E74" s="1" t="str">
        <f t="shared" si="10"/>
        <v>Saturday</v>
      </c>
      <c r="F74" t="s">
        <v>16</v>
      </c>
      <c r="G74" s="6">
        <v>142.5</v>
      </c>
      <c r="H74" s="47">
        <f t="shared" si="11"/>
        <v>134.5</v>
      </c>
      <c r="I74" s="24">
        <f t="shared" si="12"/>
        <v>2</v>
      </c>
      <c r="J74" s="2">
        <f t="shared" si="13"/>
        <v>222</v>
      </c>
      <c r="K74" t="s">
        <v>18</v>
      </c>
      <c r="L74" s="6">
        <f t="shared" si="14"/>
        <v>67.25</v>
      </c>
      <c r="M74" s="24">
        <f>SUM(H$2:H74)</f>
        <v>10304.200000000001</v>
      </c>
      <c r="N74" s="24">
        <v>0</v>
      </c>
      <c r="P74" s="24">
        <v>20</v>
      </c>
      <c r="Q74" s="24">
        <v>10</v>
      </c>
      <c r="R74" t="s">
        <v>80</v>
      </c>
      <c r="S74" s="6">
        <f>VLOOKUP(Table1[[#This Row],[Route]],'Dropdown Lists'!$M$2:$N$7,2,FALSE)</f>
        <v>11.4</v>
      </c>
      <c r="T74" s="6"/>
      <c r="U74" s="51"/>
    </row>
    <row r="75" spans="1:21" x14ac:dyDescent="0.45">
      <c r="A75">
        <f t="shared" si="9"/>
        <v>49</v>
      </c>
      <c r="D75" s="10">
        <v>45264</v>
      </c>
      <c r="E75" s="1" t="str">
        <f t="shared" si="10"/>
        <v>Monday</v>
      </c>
      <c r="F75" t="s">
        <v>16</v>
      </c>
      <c r="G75" s="6">
        <v>119.5</v>
      </c>
      <c r="H75" s="47">
        <f t="shared" si="11"/>
        <v>111.5</v>
      </c>
      <c r="I75" s="24">
        <f t="shared" si="12"/>
        <v>2</v>
      </c>
      <c r="J75" s="2">
        <f t="shared" si="13"/>
        <v>224</v>
      </c>
      <c r="K75" t="s">
        <v>18</v>
      </c>
      <c r="L75" s="6">
        <f t="shared" si="14"/>
        <v>55.75</v>
      </c>
      <c r="M75" s="24">
        <f>SUM(H$2:H75)</f>
        <v>10415.700000000001</v>
      </c>
      <c r="N75" s="24">
        <v>0</v>
      </c>
      <c r="P75" s="24">
        <f>13+6.5</f>
        <v>19.5</v>
      </c>
      <c r="Q75" s="24">
        <f>5+2</f>
        <v>7</v>
      </c>
      <c r="R75" t="s">
        <v>81</v>
      </c>
      <c r="S75" s="6">
        <f>VLOOKUP(Table1[[#This Row],[Route]],'Dropdown Lists'!$M$2:$N$7,2,FALSE)</f>
        <v>13.5</v>
      </c>
      <c r="T75" s="6"/>
      <c r="U75" s="51"/>
    </row>
    <row r="76" spans="1:21" x14ac:dyDescent="0.45">
      <c r="A76">
        <f t="shared" si="9"/>
        <v>49</v>
      </c>
      <c r="D76" s="10">
        <v>45266</v>
      </c>
      <c r="E76" s="1" t="str">
        <f t="shared" si="10"/>
        <v>Wednesday</v>
      </c>
      <c r="F76" t="s">
        <v>16</v>
      </c>
      <c r="G76" s="6">
        <v>106</v>
      </c>
      <c r="H76" s="47">
        <f t="shared" si="11"/>
        <v>98</v>
      </c>
      <c r="I76" s="24">
        <f t="shared" si="12"/>
        <v>2</v>
      </c>
      <c r="J76" s="2">
        <f t="shared" si="13"/>
        <v>226</v>
      </c>
      <c r="K76" t="s">
        <v>18</v>
      </c>
      <c r="L76" s="6">
        <f t="shared" si="14"/>
        <v>49</v>
      </c>
      <c r="M76" s="24">
        <f>SUM(H$2:H76)</f>
        <v>10513.7</v>
      </c>
      <c r="N76" s="24">
        <v>0</v>
      </c>
      <c r="P76" s="24">
        <v>21.5</v>
      </c>
      <c r="Q76" s="24">
        <v>2</v>
      </c>
      <c r="R76" t="s">
        <v>81</v>
      </c>
      <c r="S76" s="6">
        <f>VLOOKUP(Table1[[#This Row],[Route]],'Dropdown Lists'!$M$2:$N$7,2,FALSE)</f>
        <v>13.5</v>
      </c>
      <c r="T76" s="6"/>
      <c r="U76" s="51"/>
    </row>
    <row r="77" spans="1:21" x14ac:dyDescent="0.45">
      <c r="A77">
        <f t="shared" si="9"/>
        <v>49</v>
      </c>
      <c r="D77" s="10">
        <v>45268</v>
      </c>
      <c r="E77" s="1" t="str">
        <f t="shared" si="10"/>
        <v>Friday</v>
      </c>
      <c r="F77" t="s">
        <v>16</v>
      </c>
      <c r="G77" s="6">
        <v>168</v>
      </c>
      <c r="H77" s="47">
        <f t="shared" si="11"/>
        <v>160</v>
      </c>
      <c r="I77" s="24">
        <f t="shared" si="12"/>
        <v>2</v>
      </c>
      <c r="J77" s="2">
        <f t="shared" si="13"/>
        <v>228</v>
      </c>
      <c r="K77" t="s">
        <v>18</v>
      </c>
      <c r="L77" s="6">
        <f t="shared" si="14"/>
        <v>80</v>
      </c>
      <c r="M77" s="24">
        <f>SUM(H$2:H77)</f>
        <v>10673.7</v>
      </c>
      <c r="N77" s="24">
        <v>0</v>
      </c>
      <c r="P77" s="24">
        <f>8.5+19.5</f>
        <v>28</v>
      </c>
      <c r="Q77" s="24">
        <v>2</v>
      </c>
      <c r="R77" t="s">
        <v>81</v>
      </c>
      <c r="S77" s="6">
        <f>VLOOKUP(Table1[[#This Row],[Route]],'Dropdown Lists'!$M$2:$N$7,2,FALSE)</f>
        <v>13.5</v>
      </c>
      <c r="T77" s="6"/>
      <c r="U77" s="51"/>
    </row>
    <row r="78" spans="1:21" x14ac:dyDescent="0.45">
      <c r="A78">
        <f t="shared" si="9"/>
        <v>50</v>
      </c>
      <c r="D78" s="10">
        <v>45272</v>
      </c>
      <c r="E78" s="1" t="str">
        <f t="shared" si="10"/>
        <v>Tuesday</v>
      </c>
      <c r="F78" t="s">
        <v>16</v>
      </c>
      <c r="G78" s="6">
        <f>150+109.5</f>
        <v>259.5</v>
      </c>
      <c r="H78" s="47">
        <f t="shared" si="11"/>
        <v>251.5</v>
      </c>
      <c r="I78" s="24">
        <f t="shared" si="12"/>
        <v>4</v>
      </c>
      <c r="J78" s="2">
        <f t="shared" si="13"/>
        <v>232</v>
      </c>
      <c r="K78" t="s">
        <v>18</v>
      </c>
      <c r="L78" s="6">
        <f t="shared" si="14"/>
        <v>62.875</v>
      </c>
      <c r="M78" s="24">
        <f>SUM(H$2:H78)</f>
        <v>10925.2</v>
      </c>
      <c r="N78" s="24">
        <v>0</v>
      </c>
      <c r="P78" s="24">
        <v>14</v>
      </c>
      <c r="Q78" s="24">
        <v>0</v>
      </c>
      <c r="R78" t="s">
        <v>81</v>
      </c>
      <c r="S78" s="6">
        <f>VLOOKUP(Table1[[#This Row],[Route]],'Dropdown Lists'!$M$2:$N$7,2,FALSE)</f>
        <v>13.5</v>
      </c>
      <c r="T78" s="6"/>
      <c r="U78" s="51"/>
    </row>
    <row r="79" spans="1:21" x14ac:dyDescent="0.45">
      <c r="A79">
        <f t="shared" si="9"/>
        <v>50</v>
      </c>
      <c r="D79" s="10">
        <v>45276</v>
      </c>
      <c r="E79" s="1" t="str">
        <f t="shared" si="10"/>
        <v>Saturday</v>
      </c>
      <c r="F79" t="s">
        <v>16</v>
      </c>
      <c r="G79" s="6">
        <f>111.5+192</f>
        <v>303.5</v>
      </c>
      <c r="H79" s="47">
        <f t="shared" si="11"/>
        <v>295.5</v>
      </c>
      <c r="I79" s="24">
        <f t="shared" si="12"/>
        <v>4</v>
      </c>
      <c r="J79" s="2">
        <f t="shared" si="13"/>
        <v>236</v>
      </c>
      <c r="K79" t="s">
        <v>18</v>
      </c>
      <c r="L79" s="6">
        <f t="shared" si="14"/>
        <v>73.875</v>
      </c>
      <c r="M79" s="24">
        <f>SUM(H$2:H79)</f>
        <v>11220.7</v>
      </c>
      <c r="N79" s="24">
        <v>0</v>
      </c>
      <c r="P79" s="24">
        <v>0</v>
      </c>
      <c r="Q79" s="24">
        <v>0</v>
      </c>
      <c r="R79" t="s">
        <v>80</v>
      </c>
      <c r="S79" s="6">
        <f>VLOOKUP(Table1[[#This Row],[Route]],'Dropdown Lists'!$M$2:$N$7,2,FALSE)</f>
        <v>11.4</v>
      </c>
      <c r="T79" s="6"/>
      <c r="U79" s="51"/>
    </row>
    <row r="80" spans="1:21" x14ac:dyDescent="0.45">
      <c r="A80">
        <f t="shared" si="9"/>
        <v>51</v>
      </c>
      <c r="D80" s="10">
        <v>45279</v>
      </c>
      <c r="E80" s="1" t="str">
        <f t="shared" si="10"/>
        <v>Tuesday</v>
      </c>
      <c r="F80" t="s">
        <v>16</v>
      </c>
      <c r="G80" s="6">
        <v>179</v>
      </c>
      <c r="H80" s="47">
        <f t="shared" si="11"/>
        <v>171</v>
      </c>
      <c r="I80" s="24">
        <f t="shared" si="12"/>
        <v>3</v>
      </c>
      <c r="J80" s="2">
        <f t="shared" si="13"/>
        <v>239</v>
      </c>
      <c r="K80" t="s">
        <v>18</v>
      </c>
      <c r="L80" s="6">
        <f t="shared" si="14"/>
        <v>57</v>
      </c>
      <c r="M80" s="24">
        <f>SUM(H$2:H80)</f>
        <v>11391.7</v>
      </c>
      <c r="N80" s="24">
        <v>0</v>
      </c>
      <c r="P80" s="24">
        <v>0</v>
      </c>
      <c r="Q80" s="24">
        <v>32</v>
      </c>
      <c r="R80" t="s">
        <v>81</v>
      </c>
      <c r="S80" s="6">
        <f>VLOOKUP(Table1[[#This Row],[Route]],'Dropdown Lists'!$M$2:$N$7,2,FALSE)</f>
        <v>13.5</v>
      </c>
      <c r="T80" s="6"/>
      <c r="U80" s="51"/>
    </row>
    <row r="81" spans="1:21" x14ac:dyDescent="0.45">
      <c r="A81">
        <f t="shared" si="9"/>
        <v>51</v>
      </c>
      <c r="D81" s="10">
        <v>45283</v>
      </c>
      <c r="E81" s="1" t="str">
        <f t="shared" si="10"/>
        <v>Saturday</v>
      </c>
      <c r="F81" t="s">
        <v>16</v>
      </c>
      <c r="G81" s="6">
        <v>181.5</v>
      </c>
      <c r="H81" s="47">
        <f t="shared" si="11"/>
        <v>173.5</v>
      </c>
      <c r="I81" s="24">
        <f t="shared" si="12"/>
        <v>4</v>
      </c>
      <c r="J81" s="2">
        <f t="shared" si="13"/>
        <v>243</v>
      </c>
      <c r="K81" t="s">
        <v>5</v>
      </c>
      <c r="L81" s="6">
        <f t="shared" si="14"/>
        <v>43.375</v>
      </c>
      <c r="M81" s="24">
        <f>SUM(H$2:H81)</f>
        <v>11565.2</v>
      </c>
      <c r="N81" s="24">
        <v>0</v>
      </c>
      <c r="P81" s="24">
        <v>0</v>
      </c>
      <c r="Q81" s="24">
        <v>0</v>
      </c>
      <c r="R81" t="s">
        <v>80</v>
      </c>
      <c r="S81" s="6">
        <f>VLOOKUP(Table1[[#This Row],[Route]],'Dropdown Lists'!$M$2:$N$7,2,FALSE)</f>
        <v>11.4</v>
      </c>
      <c r="T81" s="6"/>
      <c r="U81" s="51"/>
    </row>
    <row r="82" spans="1:21" x14ac:dyDescent="0.45">
      <c r="A82">
        <f t="shared" si="9"/>
        <v>52</v>
      </c>
      <c r="D82" s="10">
        <v>45289</v>
      </c>
      <c r="E82" s="1" t="str">
        <f t="shared" si="10"/>
        <v>Friday</v>
      </c>
      <c r="F82" t="s">
        <v>16</v>
      </c>
      <c r="G82" s="6">
        <v>189</v>
      </c>
      <c r="H82" s="47">
        <f t="shared" si="11"/>
        <v>181</v>
      </c>
      <c r="I82" s="24">
        <f t="shared" si="12"/>
        <v>6</v>
      </c>
      <c r="J82" s="2">
        <f t="shared" si="13"/>
        <v>249</v>
      </c>
      <c r="K82" t="s">
        <v>5</v>
      </c>
      <c r="L82" s="6">
        <f t="shared" si="14"/>
        <v>30.166666666666668</v>
      </c>
      <c r="M82" s="24">
        <f>SUM(H$2:H82)</f>
        <v>11746.2</v>
      </c>
      <c r="N82" s="24">
        <v>0</v>
      </c>
      <c r="P82" s="24">
        <v>0</v>
      </c>
      <c r="Q82" s="24">
        <f>111+6.5+17.5</f>
        <v>135</v>
      </c>
      <c r="R82" t="s">
        <v>80</v>
      </c>
      <c r="S82" s="6">
        <f>VLOOKUP(Table1[[#This Row],[Route]],'Dropdown Lists'!$M$2:$N$7,2,FALSE)</f>
        <v>11.4</v>
      </c>
      <c r="T82" s="6"/>
      <c r="U82" s="51"/>
    </row>
    <row r="83" spans="1:21" x14ac:dyDescent="0.45">
      <c r="A83">
        <f t="shared" si="9"/>
        <v>1</v>
      </c>
      <c r="D83" s="10">
        <v>45293</v>
      </c>
      <c r="E83" s="1" t="str">
        <f t="shared" si="10"/>
        <v>Tuesday</v>
      </c>
      <c r="F83" t="s">
        <v>16</v>
      </c>
      <c r="G83" s="6">
        <v>151</v>
      </c>
      <c r="H83" s="47">
        <f t="shared" si="11"/>
        <v>143</v>
      </c>
      <c r="I83" s="24">
        <f t="shared" si="12"/>
        <v>4</v>
      </c>
      <c r="J83" s="2">
        <f t="shared" si="13"/>
        <v>253</v>
      </c>
      <c r="K83" t="s">
        <v>5</v>
      </c>
      <c r="L83" s="6">
        <f t="shared" si="14"/>
        <v>35.75</v>
      </c>
      <c r="M83" s="24">
        <f>SUM(H$2:H83)</f>
        <v>11889.2</v>
      </c>
      <c r="N83" s="24">
        <v>0</v>
      </c>
      <c r="P83" s="24">
        <v>0</v>
      </c>
      <c r="Q83" s="24">
        <f>44.5+31</f>
        <v>75.5</v>
      </c>
      <c r="R83" t="s">
        <v>80</v>
      </c>
      <c r="S83" s="6">
        <f>VLOOKUP(Table1[[#This Row],[Route]],'Dropdown Lists'!$M$2:$N$7,2,FALSE)</f>
        <v>11.4</v>
      </c>
      <c r="T83" s="6"/>
      <c r="U83" s="51"/>
    </row>
    <row r="84" spans="1:21" x14ac:dyDescent="0.45">
      <c r="A84">
        <f t="shared" si="9"/>
        <v>2</v>
      </c>
      <c r="D84" s="10">
        <v>45301</v>
      </c>
      <c r="E84" s="1" t="str">
        <f t="shared" si="10"/>
        <v>Wednesday</v>
      </c>
      <c r="F84" t="s">
        <v>16</v>
      </c>
      <c r="G84" s="6">
        <f>184+198</f>
        <v>382</v>
      </c>
      <c r="H84" s="47">
        <f t="shared" si="11"/>
        <v>374</v>
      </c>
      <c r="I84" s="24">
        <f t="shared" si="12"/>
        <v>8</v>
      </c>
      <c r="J84" s="2">
        <f t="shared" si="13"/>
        <v>261</v>
      </c>
      <c r="K84" t="s">
        <v>5</v>
      </c>
      <c r="L84" s="6">
        <f t="shared" si="14"/>
        <v>46.75</v>
      </c>
      <c r="M84" s="24">
        <f>SUM(H$2:H84)</f>
        <v>12263.2</v>
      </c>
      <c r="N84" s="24">
        <v>0</v>
      </c>
      <c r="P84" s="24">
        <v>0</v>
      </c>
      <c r="Q84" s="24">
        <f>48+47</f>
        <v>95</v>
      </c>
      <c r="R84" t="s">
        <v>81</v>
      </c>
      <c r="S84" s="6">
        <f>VLOOKUP(Table1[[#This Row],[Route]],'Dropdown Lists'!$M$2:$N$7,2,FALSE)</f>
        <v>13.5</v>
      </c>
      <c r="T84" s="6"/>
      <c r="U84" s="51"/>
    </row>
    <row r="85" spans="1:21" x14ac:dyDescent="0.45">
      <c r="A85">
        <f t="shared" si="9"/>
        <v>2</v>
      </c>
      <c r="D85" s="10">
        <v>45303</v>
      </c>
      <c r="E85" s="1" t="str">
        <f t="shared" si="10"/>
        <v>Friday</v>
      </c>
      <c r="F85" t="s">
        <v>16</v>
      </c>
      <c r="G85" s="6">
        <v>171.9</v>
      </c>
      <c r="H85" s="47">
        <f t="shared" si="11"/>
        <v>163.9</v>
      </c>
      <c r="I85" s="24">
        <f t="shared" si="12"/>
        <v>2</v>
      </c>
      <c r="J85" s="2">
        <f t="shared" si="13"/>
        <v>263</v>
      </c>
      <c r="K85" t="s">
        <v>18</v>
      </c>
      <c r="L85" s="6">
        <f t="shared" si="14"/>
        <v>81.95</v>
      </c>
      <c r="M85" s="24">
        <f>SUM(H$2:H85)</f>
        <v>12427.1</v>
      </c>
      <c r="N85" s="24">
        <v>0</v>
      </c>
      <c r="P85" s="24">
        <v>0</v>
      </c>
      <c r="Q85" s="24">
        <v>0</v>
      </c>
      <c r="R85" t="s">
        <v>81</v>
      </c>
      <c r="S85" s="6">
        <f>VLOOKUP(Table1[[#This Row],[Route]],'Dropdown Lists'!$M$2:$N$7,2,FALSE)</f>
        <v>13.5</v>
      </c>
      <c r="T85" s="6"/>
      <c r="U85" s="51"/>
    </row>
    <row r="86" spans="1:21" x14ac:dyDescent="0.45">
      <c r="A86">
        <f t="shared" si="9"/>
        <v>3</v>
      </c>
      <c r="D86" s="10">
        <v>45305</v>
      </c>
      <c r="E86" s="1" t="str">
        <f t="shared" si="10"/>
        <v>Sunday</v>
      </c>
      <c r="F86" t="s">
        <v>16</v>
      </c>
      <c r="G86" s="6">
        <v>120</v>
      </c>
      <c r="H86" s="47">
        <f t="shared" si="11"/>
        <v>112</v>
      </c>
      <c r="I86" s="24">
        <f t="shared" si="12"/>
        <v>2</v>
      </c>
      <c r="J86" s="2">
        <f t="shared" si="13"/>
        <v>265</v>
      </c>
      <c r="K86" t="s">
        <v>18</v>
      </c>
      <c r="L86" s="6">
        <f t="shared" si="14"/>
        <v>56</v>
      </c>
      <c r="M86" s="24">
        <f>SUM(H$2:H86)</f>
        <v>12539.1</v>
      </c>
      <c r="N86" s="24">
        <v>0</v>
      </c>
      <c r="P86" s="24">
        <v>0</v>
      </c>
      <c r="Q86" s="24">
        <v>0</v>
      </c>
      <c r="R86" t="s">
        <v>80</v>
      </c>
      <c r="S86" s="6">
        <f>VLOOKUP(Table1[[#This Row],[Route]],'Dropdown Lists'!$M$2:$N$7,2,FALSE)</f>
        <v>11.4</v>
      </c>
      <c r="T86" s="6"/>
      <c r="U86" s="51"/>
    </row>
    <row r="87" spans="1:21" x14ac:dyDescent="0.45">
      <c r="A87">
        <f t="shared" si="9"/>
        <v>3</v>
      </c>
      <c r="D87" s="10">
        <v>45308</v>
      </c>
      <c r="E87" s="1" t="str">
        <f t="shared" si="10"/>
        <v>Wednesday</v>
      </c>
      <c r="F87" t="s">
        <v>16</v>
      </c>
      <c r="G87" s="6">
        <v>172</v>
      </c>
      <c r="H87" s="47">
        <f t="shared" si="11"/>
        <v>164</v>
      </c>
      <c r="I87" s="24">
        <f t="shared" si="12"/>
        <v>3</v>
      </c>
      <c r="J87" s="2">
        <f t="shared" si="13"/>
        <v>268</v>
      </c>
      <c r="K87" t="s">
        <v>18</v>
      </c>
      <c r="L87" s="6">
        <f t="shared" si="14"/>
        <v>54.666666666666664</v>
      </c>
      <c r="M87" s="24">
        <f>SUM(H$2:H87)</f>
        <v>12703.1</v>
      </c>
      <c r="N87" s="24">
        <v>0</v>
      </c>
      <c r="P87" s="24">
        <v>0</v>
      </c>
      <c r="Q87" s="24">
        <v>0</v>
      </c>
      <c r="R87" t="s">
        <v>81</v>
      </c>
      <c r="S87" s="6">
        <f>VLOOKUP(Table1[[#This Row],[Route]],'Dropdown Lists'!$M$2:$N$7,2,FALSE)</f>
        <v>13.5</v>
      </c>
      <c r="T87" s="6"/>
      <c r="U87" s="51"/>
    </row>
    <row r="88" spans="1:21" x14ac:dyDescent="0.45">
      <c r="A88">
        <f t="shared" si="9"/>
        <v>4</v>
      </c>
      <c r="D88" s="10">
        <v>45312</v>
      </c>
      <c r="E88" s="1" t="str">
        <f t="shared" si="10"/>
        <v>Sunday</v>
      </c>
      <c r="F88" t="s">
        <v>16</v>
      </c>
      <c r="G88" s="6">
        <v>212</v>
      </c>
      <c r="H88" s="47">
        <f t="shared" si="11"/>
        <v>204</v>
      </c>
      <c r="I88" s="24">
        <f t="shared" si="12"/>
        <v>4</v>
      </c>
      <c r="J88" s="2">
        <f t="shared" si="13"/>
        <v>272</v>
      </c>
      <c r="K88" t="s">
        <v>18</v>
      </c>
      <c r="L88" s="6">
        <f t="shared" si="14"/>
        <v>51</v>
      </c>
      <c r="M88" s="24">
        <f>SUM(H$2:H88)</f>
        <v>12907.1</v>
      </c>
      <c r="N88" s="24">
        <v>0</v>
      </c>
      <c r="P88" s="24">
        <v>0</v>
      </c>
      <c r="Q88" s="24">
        <v>0</v>
      </c>
      <c r="R88" t="s">
        <v>80</v>
      </c>
      <c r="S88" s="6">
        <f>VLOOKUP(Table1[[#This Row],[Route]],'Dropdown Lists'!$M$2:$N$7,2,FALSE)</f>
        <v>11.4</v>
      </c>
      <c r="T88" s="6"/>
      <c r="U88" s="51"/>
    </row>
    <row r="89" spans="1:21" x14ac:dyDescent="0.45">
      <c r="A89">
        <f t="shared" si="9"/>
        <v>4</v>
      </c>
      <c r="D89" s="10">
        <v>45314</v>
      </c>
      <c r="E89" s="1" t="str">
        <f t="shared" si="10"/>
        <v>Tuesday</v>
      </c>
      <c r="F89" t="s">
        <v>16</v>
      </c>
      <c r="G89" s="6">
        <v>175</v>
      </c>
      <c r="H89" s="47">
        <f t="shared" si="11"/>
        <v>167</v>
      </c>
      <c r="I89" s="24">
        <f t="shared" si="12"/>
        <v>2</v>
      </c>
      <c r="J89" s="2">
        <f t="shared" si="13"/>
        <v>274</v>
      </c>
      <c r="K89" t="s">
        <v>18</v>
      </c>
      <c r="L89" s="6">
        <f t="shared" si="14"/>
        <v>83.5</v>
      </c>
      <c r="M89" s="24">
        <f>SUM(H$2:H89)</f>
        <v>13074.1</v>
      </c>
      <c r="N89" s="24">
        <v>0</v>
      </c>
      <c r="P89" s="24">
        <v>0</v>
      </c>
      <c r="Q89" s="24">
        <v>0</v>
      </c>
      <c r="R89" t="s">
        <v>81</v>
      </c>
      <c r="S89" s="6">
        <f>VLOOKUP(Table1[[#This Row],[Route]],'Dropdown Lists'!$M$2:$N$7,2,FALSE)</f>
        <v>13.5</v>
      </c>
      <c r="T89" s="6"/>
      <c r="U89" s="51"/>
    </row>
    <row r="90" spans="1:21" x14ac:dyDescent="0.45">
      <c r="A90">
        <f t="shared" si="9"/>
        <v>4</v>
      </c>
      <c r="D90" s="10">
        <v>45317</v>
      </c>
      <c r="E90" s="1" t="str">
        <f t="shared" si="10"/>
        <v>Friday</v>
      </c>
      <c r="F90" t="s">
        <v>16</v>
      </c>
      <c r="G90" s="6">
        <v>180</v>
      </c>
      <c r="H90" s="47">
        <f t="shared" si="11"/>
        <v>172</v>
      </c>
      <c r="I90" s="24">
        <f t="shared" si="12"/>
        <v>3</v>
      </c>
      <c r="J90" s="2">
        <f t="shared" si="13"/>
        <v>277</v>
      </c>
      <c r="K90" t="s">
        <v>18</v>
      </c>
      <c r="L90" s="6">
        <f t="shared" si="14"/>
        <v>57.333333333333336</v>
      </c>
      <c r="M90" s="24">
        <f>SUM(H$2:H90)</f>
        <v>13246.1</v>
      </c>
      <c r="N90" s="24">
        <v>0</v>
      </c>
      <c r="P90" s="24">
        <v>0</v>
      </c>
      <c r="Q90" s="24">
        <v>0</v>
      </c>
      <c r="R90" t="s">
        <v>81</v>
      </c>
      <c r="S90" s="6">
        <f>VLOOKUP(Table1[[#This Row],[Route]],'Dropdown Lists'!$M$2:$N$7,2,FALSE)</f>
        <v>13.5</v>
      </c>
      <c r="T90" s="6"/>
      <c r="U90" s="51"/>
    </row>
    <row r="91" spans="1:21" x14ac:dyDescent="0.45">
      <c r="A91">
        <f t="shared" si="9"/>
        <v>5</v>
      </c>
      <c r="D91" s="10">
        <v>45319</v>
      </c>
      <c r="E91" s="1" t="str">
        <f t="shared" si="10"/>
        <v>Sunday</v>
      </c>
      <c r="F91" t="s">
        <v>16</v>
      </c>
      <c r="G91" s="6">
        <v>151.5</v>
      </c>
      <c r="H91" s="47">
        <f t="shared" si="11"/>
        <v>143.5</v>
      </c>
      <c r="I91" s="24">
        <f t="shared" si="12"/>
        <v>2</v>
      </c>
      <c r="J91" s="2">
        <f t="shared" si="13"/>
        <v>279</v>
      </c>
      <c r="K91" t="s">
        <v>18</v>
      </c>
      <c r="L91" s="6">
        <f t="shared" si="14"/>
        <v>71.75</v>
      </c>
      <c r="M91" s="24">
        <f>SUM(H$2:H91)</f>
        <v>13389.6</v>
      </c>
      <c r="N91" s="24">
        <v>0</v>
      </c>
      <c r="P91" s="24">
        <v>0</v>
      </c>
      <c r="Q91" s="24">
        <v>0</v>
      </c>
      <c r="R91" t="s">
        <v>80</v>
      </c>
      <c r="S91" s="6">
        <f>VLOOKUP(Table1[[#This Row],[Route]],'Dropdown Lists'!$M$2:$N$7,2,FALSE)</f>
        <v>11.4</v>
      </c>
      <c r="T91" s="6"/>
      <c r="U91" s="51"/>
    </row>
    <row r="92" spans="1:21" x14ac:dyDescent="0.45">
      <c r="A92">
        <f t="shared" si="9"/>
        <v>5</v>
      </c>
      <c r="D92" s="10">
        <v>45321</v>
      </c>
      <c r="E92" s="1" t="str">
        <f t="shared" si="10"/>
        <v>Tuesday</v>
      </c>
      <c r="F92" t="s">
        <v>16</v>
      </c>
      <c r="G92" s="6">
        <v>155</v>
      </c>
      <c r="H92" s="47">
        <f t="shared" si="11"/>
        <v>147</v>
      </c>
      <c r="I92" s="24">
        <f t="shared" si="12"/>
        <v>2</v>
      </c>
      <c r="J92" s="2">
        <f t="shared" si="13"/>
        <v>281</v>
      </c>
      <c r="K92" t="s">
        <v>18</v>
      </c>
      <c r="L92" s="6">
        <f t="shared" si="14"/>
        <v>73.5</v>
      </c>
      <c r="M92" s="24">
        <f>SUM(H$2:H92)</f>
        <v>13536.6</v>
      </c>
      <c r="N92" s="24">
        <v>0</v>
      </c>
      <c r="P92" s="24">
        <v>0</v>
      </c>
      <c r="Q92" s="24">
        <v>0</v>
      </c>
      <c r="R92" t="s">
        <v>81</v>
      </c>
      <c r="S92" s="6">
        <f>VLOOKUP(Table1[[#This Row],[Route]],'Dropdown Lists'!$M$2:$N$7,2,FALSE)</f>
        <v>13.5</v>
      </c>
      <c r="T92" s="6"/>
      <c r="U92" s="51"/>
    </row>
    <row r="93" spans="1:21" x14ac:dyDescent="0.45">
      <c r="A93">
        <f t="shared" si="9"/>
        <v>5</v>
      </c>
      <c r="D93" s="10">
        <v>45323</v>
      </c>
      <c r="E93" s="1" t="str">
        <f t="shared" si="10"/>
        <v>Thursday</v>
      </c>
      <c r="F93" t="s">
        <v>16</v>
      </c>
      <c r="G93" s="6">
        <v>153</v>
      </c>
      <c r="H93" s="47">
        <f t="shared" si="11"/>
        <v>145</v>
      </c>
      <c r="I93" s="24">
        <f t="shared" si="12"/>
        <v>2</v>
      </c>
      <c r="J93" s="2">
        <f t="shared" si="13"/>
        <v>283</v>
      </c>
      <c r="K93" t="s">
        <v>18</v>
      </c>
      <c r="L93" s="6">
        <f t="shared" si="14"/>
        <v>72.5</v>
      </c>
      <c r="M93" s="24">
        <f>SUM(H$2:H93)</f>
        <v>13681.6</v>
      </c>
      <c r="N93" s="24">
        <v>0</v>
      </c>
      <c r="P93" s="24">
        <v>0</v>
      </c>
      <c r="Q93" s="24">
        <v>48.5</v>
      </c>
      <c r="R93" t="s">
        <v>81</v>
      </c>
      <c r="S93" s="6">
        <f>VLOOKUP(Table1[[#This Row],[Route]],'Dropdown Lists'!$M$2:$N$7,2,FALSE)</f>
        <v>13.5</v>
      </c>
      <c r="T93" s="6"/>
      <c r="U93" s="51"/>
    </row>
    <row r="94" spans="1:21" x14ac:dyDescent="0.45">
      <c r="A94">
        <f t="shared" si="9"/>
        <v>5</v>
      </c>
      <c r="D94" s="10">
        <v>45325</v>
      </c>
      <c r="E94" s="1" t="str">
        <f t="shared" si="10"/>
        <v>Saturday</v>
      </c>
      <c r="F94" t="s">
        <v>16</v>
      </c>
      <c r="G94" s="6">
        <v>144.5</v>
      </c>
      <c r="H94" s="47">
        <f t="shared" si="11"/>
        <v>136.5</v>
      </c>
      <c r="I94" s="24">
        <f t="shared" si="12"/>
        <v>2</v>
      </c>
      <c r="J94" s="2">
        <f t="shared" si="13"/>
        <v>285</v>
      </c>
      <c r="K94" t="s">
        <v>18</v>
      </c>
      <c r="L94" s="6">
        <f t="shared" si="14"/>
        <v>68.25</v>
      </c>
      <c r="M94" s="24">
        <f>SUM(H$2:H94)</f>
        <v>13818.1</v>
      </c>
      <c r="N94" s="24">
        <v>0</v>
      </c>
      <c r="P94" s="24">
        <v>0</v>
      </c>
      <c r="Q94" s="24">
        <v>0</v>
      </c>
      <c r="R94" t="s">
        <v>80</v>
      </c>
      <c r="S94" s="6">
        <f>VLOOKUP(Table1[[#This Row],[Route]],'Dropdown Lists'!$M$2:$N$7,2,FALSE)</f>
        <v>11.4</v>
      </c>
      <c r="T94" s="6"/>
      <c r="U94" s="51"/>
    </row>
    <row r="95" spans="1:21" x14ac:dyDescent="0.45">
      <c r="A95">
        <f t="shared" si="9"/>
        <v>6</v>
      </c>
      <c r="D95" s="10">
        <v>45327</v>
      </c>
      <c r="E95" s="1" t="str">
        <f t="shared" si="10"/>
        <v>Monday</v>
      </c>
      <c r="F95" t="s">
        <v>16</v>
      </c>
      <c r="G95" s="6">
        <v>103.5</v>
      </c>
      <c r="H95" s="47">
        <f t="shared" si="11"/>
        <v>95.5</v>
      </c>
      <c r="I95" s="24">
        <f t="shared" si="12"/>
        <v>2</v>
      </c>
      <c r="J95" s="2">
        <f t="shared" si="13"/>
        <v>287</v>
      </c>
      <c r="K95" t="s">
        <v>18</v>
      </c>
      <c r="L95" s="6">
        <f t="shared" si="14"/>
        <v>47.75</v>
      </c>
      <c r="M95" s="24">
        <f>SUM(H$2:H95)</f>
        <v>13913.6</v>
      </c>
      <c r="N95" s="24">
        <v>0</v>
      </c>
      <c r="P95" s="24">
        <v>0</v>
      </c>
      <c r="Q95" s="24">
        <v>0</v>
      </c>
      <c r="R95" t="s">
        <v>81</v>
      </c>
      <c r="S95" s="6">
        <f>VLOOKUP(Table1[[#This Row],[Route]],'Dropdown Lists'!$M$2:$N$7,2,FALSE)</f>
        <v>13.5</v>
      </c>
      <c r="T95" s="6"/>
      <c r="U95" s="51"/>
    </row>
    <row r="96" spans="1:21" x14ac:dyDescent="0.45">
      <c r="A96">
        <f t="shared" si="9"/>
        <v>6</v>
      </c>
      <c r="D96" s="10">
        <v>45329</v>
      </c>
      <c r="E96" s="1" t="str">
        <f t="shared" si="10"/>
        <v>Wednesday</v>
      </c>
      <c r="F96" t="s">
        <v>16</v>
      </c>
      <c r="G96" s="6">
        <v>160</v>
      </c>
      <c r="H96" s="47">
        <f t="shared" si="11"/>
        <v>152</v>
      </c>
      <c r="I96" s="24">
        <f t="shared" si="12"/>
        <v>2</v>
      </c>
      <c r="J96" s="2">
        <f t="shared" si="13"/>
        <v>289</v>
      </c>
      <c r="K96" t="s">
        <v>18</v>
      </c>
      <c r="L96" s="6">
        <f t="shared" si="14"/>
        <v>76</v>
      </c>
      <c r="M96" s="24">
        <f>SUM(H$2:H96)</f>
        <v>14065.6</v>
      </c>
      <c r="N96" s="24">
        <v>0</v>
      </c>
      <c r="P96" s="24">
        <v>0</v>
      </c>
      <c r="Q96" s="24">
        <v>0</v>
      </c>
      <c r="R96" t="s">
        <v>81</v>
      </c>
      <c r="S96" s="6">
        <f>VLOOKUP(Table1[[#This Row],[Route]],'Dropdown Lists'!$M$2:$N$7,2,FALSE)</f>
        <v>13.5</v>
      </c>
      <c r="T96" s="6"/>
      <c r="U96" s="51"/>
    </row>
    <row r="97" spans="1:21" x14ac:dyDescent="0.45">
      <c r="A97">
        <f t="shared" si="9"/>
        <v>6</v>
      </c>
      <c r="D97" s="10">
        <v>45331</v>
      </c>
      <c r="E97" s="1" t="str">
        <f t="shared" si="10"/>
        <v>Friday</v>
      </c>
      <c r="F97" t="s">
        <v>16</v>
      </c>
      <c r="G97" s="6">
        <v>164</v>
      </c>
      <c r="H97" s="47">
        <f t="shared" si="11"/>
        <v>156</v>
      </c>
      <c r="I97" s="24">
        <f t="shared" si="12"/>
        <v>2</v>
      </c>
      <c r="J97" s="2">
        <f t="shared" si="13"/>
        <v>291</v>
      </c>
      <c r="K97" t="s">
        <v>18</v>
      </c>
      <c r="L97" s="6">
        <f t="shared" si="14"/>
        <v>78</v>
      </c>
      <c r="M97" s="24">
        <f>SUM(H$2:H97)</f>
        <v>14221.6</v>
      </c>
      <c r="N97" s="24">
        <v>0</v>
      </c>
      <c r="P97" s="24">
        <v>0</v>
      </c>
      <c r="Q97" s="24">
        <v>0</v>
      </c>
      <c r="R97" t="s">
        <v>81</v>
      </c>
      <c r="S97" s="6">
        <f>VLOOKUP(Table1[[#This Row],[Route]],'Dropdown Lists'!$M$2:$N$7,2,FALSE)</f>
        <v>13.5</v>
      </c>
      <c r="T97" s="6"/>
      <c r="U97" s="51"/>
    </row>
    <row r="98" spans="1:21" x14ac:dyDescent="0.45">
      <c r="A98">
        <f t="shared" si="9"/>
        <v>7</v>
      </c>
      <c r="D98" s="10">
        <v>45334</v>
      </c>
      <c r="E98" s="1" t="str">
        <f t="shared" si="10"/>
        <v>Monday</v>
      </c>
      <c r="F98" t="s">
        <v>16</v>
      </c>
      <c r="G98" s="6">
        <v>155</v>
      </c>
      <c r="H98" s="47">
        <f t="shared" si="11"/>
        <v>147</v>
      </c>
      <c r="I98" s="24">
        <f t="shared" si="12"/>
        <v>3</v>
      </c>
      <c r="J98" s="2">
        <f t="shared" si="13"/>
        <v>294</v>
      </c>
      <c r="K98" t="s">
        <v>18</v>
      </c>
      <c r="L98" s="6">
        <f t="shared" si="14"/>
        <v>49</v>
      </c>
      <c r="M98" s="24">
        <f>SUM(H$2:H98)</f>
        <v>14368.6</v>
      </c>
      <c r="N98" s="24">
        <v>0</v>
      </c>
      <c r="P98" s="24">
        <v>0</v>
      </c>
      <c r="Q98" s="24">
        <v>0</v>
      </c>
      <c r="R98" t="s">
        <v>81</v>
      </c>
      <c r="S98" s="6">
        <f>VLOOKUP(Table1[[#This Row],[Route]],'Dropdown Lists'!$M$2:$N$7,2,FALSE)</f>
        <v>13.5</v>
      </c>
      <c r="T98" s="6"/>
      <c r="U98" s="51"/>
    </row>
    <row r="99" spans="1:21" x14ac:dyDescent="0.45">
      <c r="A99">
        <f t="shared" si="9"/>
        <v>7</v>
      </c>
      <c r="D99" s="10">
        <v>45336</v>
      </c>
      <c r="E99" s="1" t="str">
        <f t="shared" si="10"/>
        <v>Wednesday</v>
      </c>
      <c r="F99" t="s">
        <v>16</v>
      </c>
      <c r="G99" s="6">
        <v>156</v>
      </c>
      <c r="H99" s="47">
        <f t="shared" si="11"/>
        <v>148</v>
      </c>
      <c r="I99" s="24">
        <f t="shared" ref="I99:I130" si="15">IF(D99-D98&lt;0, 0, D99-D98)</f>
        <v>2</v>
      </c>
      <c r="J99" s="2">
        <f t="shared" si="13"/>
        <v>296</v>
      </c>
      <c r="K99" t="s">
        <v>18</v>
      </c>
      <c r="L99" s="6">
        <f t="shared" si="14"/>
        <v>74</v>
      </c>
      <c r="M99" s="24">
        <f>SUM(H$2:H99)</f>
        <v>14516.6</v>
      </c>
      <c r="N99" s="24">
        <v>0</v>
      </c>
      <c r="P99" s="24">
        <v>0</v>
      </c>
      <c r="Q99" s="24">
        <v>0</v>
      </c>
      <c r="R99" t="s">
        <v>81</v>
      </c>
      <c r="S99" s="6">
        <f>VLOOKUP(Table1[[#This Row],[Route]],'Dropdown Lists'!$M$2:$N$7,2,FALSE)</f>
        <v>13.5</v>
      </c>
      <c r="T99" s="6"/>
      <c r="U99" s="51"/>
    </row>
    <row r="100" spans="1:21" x14ac:dyDescent="0.45">
      <c r="A100">
        <f t="shared" si="9"/>
        <v>7</v>
      </c>
      <c r="D100" s="10">
        <v>45338</v>
      </c>
      <c r="E100" s="1" t="str">
        <f t="shared" si="10"/>
        <v>Friday</v>
      </c>
      <c r="F100" t="s">
        <v>16</v>
      </c>
      <c r="G100" s="6">
        <v>165</v>
      </c>
      <c r="H100" s="47">
        <f t="shared" si="11"/>
        <v>157</v>
      </c>
      <c r="I100" s="24">
        <f t="shared" si="15"/>
        <v>2</v>
      </c>
      <c r="J100" s="2">
        <f t="shared" si="13"/>
        <v>298</v>
      </c>
      <c r="K100" t="s">
        <v>18</v>
      </c>
      <c r="L100" s="6">
        <f t="shared" si="14"/>
        <v>78.5</v>
      </c>
      <c r="M100" s="24">
        <f>SUM(H$2:H100)</f>
        <v>14673.6</v>
      </c>
      <c r="N100" s="24">
        <v>0</v>
      </c>
      <c r="P100" s="24">
        <v>0</v>
      </c>
      <c r="Q100" s="24">
        <v>0</v>
      </c>
      <c r="R100" t="s">
        <v>81</v>
      </c>
      <c r="S100" s="6">
        <f>VLOOKUP(Table1[[#This Row],[Route]],'Dropdown Lists'!$M$2:$N$7,2,FALSE)</f>
        <v>13.5</v>
      </c>
      <c r="T100" s="6"/>
      <c r="U100" s="51"/>
    </row>
    <row r="101" spans="1:21" x14ac:dyDescent="0.45">
      <c r="A101">
        <f t="shared" si="9"/>
        <v>8</v>
      </c>
      <c r="D101" s="10">
        <v>45340</v>
      </c>
      <c r="E101" s="1" t="str">
        <f t="shared" si="10"/>
        <v>Sunday</v>
      </c>
      <c r="F101" t="s">
        <v>16</v>
      </c>
      <c r="G101" s="6">
        <v>145</v>
      </c>
      <c r="H101" s="47">
        <f t="shared" si="11"/>
        <v>137</v>
      </c>
      <c r="I101" s="24">
        <f t="shared" si="15"/>
        <v>2</v>
      </c>
      <c r="J101" s="2">
        <f t="shared" si="13"/>
        <v>300</v>
      </c>
      <c r="K101" t="s">
        <v>18</v>
      </c>
      <c r="L101" s="6">
        <f t="shared" si="14"/>
        <v>68.5</v>
      </c>
      <c r="M101" s="24">
        <f>SUM(H$2:H101)</f>
        <v>14810.6</v>
      </c>
      <c r="N101" s="24">
        <v>0</v>
      </c>
      <c r="P101" s="24">
        <v>0</v>
      </c>
      <c r="Q101" s="24">
        <v>0</v>
      </c>
      <c r="R101" t="s">
        <v>80</v>
      </c>
      <c r="S101" s="6">
        <f>VLOOKUP(Table1[[#This Row],[Route]],'Dropdown Lists'!$M$2:$N$7,2,FALSE)</f>
        <v>11.4</v>
      </c>
      <c r="T101" s="6"/>
      <c r="U101" s="51"/>
    </row>
    <row r="102" spans="1:21" x14ac:dyDescent="0.45">
      <c r="A102">
        <f t="shared" si="9"/>
        <v>8</v>
      </c>
      <c r="D102" s="10">
        <v>45342</v>
      </c>
      <c r="E102" s="1" t="str">
        <f t="shared" si="10"/>
        <v>Tuesday</v>
      </c>
      <c r="F102" t="s">
        <v>16</v>
      </c>
      <c r="G102" s="6">
        <v>180</v>
      </c>
      <c r="H102" s="47">
        <f t="shared" si="11"/>
        <v>172</v>
      </c>
      <c r="I102" s="24">
        <f t="shared" si="15"/>
        <v>2</v>
      </c>
      <c r="J102" s="2">
        <f t="shared" si="13"/>
        <v>302</v>
      </c>
      <c r="K102" t="s">
        <v>18</v>
      </c>
      <c r="L102" s="6">
        <f t="shared" si="14"/>
        <v>86</v>
      </c>
      <c r="M102" s="24">
        <f>SUM(H$2:H102)</f>
        <v>14982.6</v>
      </c>
      <c r="N102" s="24">
        <v>0</v>
      </c>
      <c r="P102" s="24">
        <v>0</v>
      </c>
      <c r="Q102" s="24">
        <v>0</v>
      </c>
      <c r="R102" t="s">
        <v>81</v>
      </c>
      <c r="S102" s="6">
        <f>VLOOKUP(Table1[[#This Row],[Route]],'Dropdown Lists'!$M$2:$N$7,2,FALSE)</f>
        <v>13.5</v>
      </c>
      <c r="T102" s="6"/>
      <c r="U102" s="51"/>
    </row>
    <row r="103" spans="1:21" x14ac:dyDescent="0.45">
      <c r="A103">
        <f t="shared" si="9"/>
        <v>8</v>
      </c>
      <c r="D103" s="10">
        <v>45344</v>
      </c>
      <c r="E103" s="1" t="str">
        <f t="shared" si="10"/>
        <v>Thursday</v>
      </c>
      <c r="F103" t="s">
        <v>16</v>
      </c>
      <c r="G103" s="6">
        <v>150</v>
      </c>
      <c r="H103" s="47">
        <f t="shared" si="11"/>
        <v>142</v>
      </c>
      <c r="I103" s="24">
        <f t="shared" si="15"/>
        <v>2</v>
      </c>
      <c r="J103" s="2">
        <f t="shared" si="13"/>
        <v>304</v>
      </c>
      <c r="K103" t="s">
        <v>18</v>
      </c>
      <c r="L103" s="6">
        <f t="shared" si="14"/>
        <v>71</v>
      </c>
      <c r="M103" s="24">
        <f>SUM(H$2:H103)</f>
        <v>15124.6</v>
      </c>
      <c r="N103" s="24">
        <v>0</v>
      </c>
      <c r="P103" s="24">
        <v>0</v>
      </c>
      <c r="Q103" s="24">
        <v>0</v>
      </c>
      <c r="R103" t="s">
        <v>81</v>
      </c>
      <c r="S103" s="6">
        <f>VLOOKUP(Table1[[#This Row],[Route]],'Dropdown Lists'!$M$2:$N$7,2,FALSE)</f>
        <v>13.5</v>
      </c>
      <c r="T103" s="6"/>
      <c r="U103" s="51"/>
    </row>
    <row r="104" spans="1:21" x14ac:dyDescent="0.45">
      <c r="A104">
        <f t="shared" si="9"/>
        <v>9</v>
      </c>
      <c r="D104" s="10">
        <v>45347</v>
      </c>
      <c r="E104" s="1" t="str">
        <f t="shared" si="10"/>
        <v>Sunday</v>
      </c>
      <c r="F104" t="s">
        <v>16</v>
      </c>
      <c r="G104" s="6">
        <v>190</v>
      </c>
      <c r="H104" s="47">
        <f t="shared" si="11"/>
        <v>182</v>
      </c>
      <c r="I104" s="24">
        <f t="shared" si="15"/>
        <v>3</v>
      </c>
      <c r="J104" s="2">
        <f t="shared" si="13"/>
        <v>307</v>
      </c>
      <c r="K104" t="s">
        <v>18</v>
      </c>
      <c r="L104" s="6">
        <f t="shared" si="14"/>
        <v>60.666666666666664</v>
      </c>
      <c r="M104" s="24">
        <f>SUM(H$2:H104)</f>
        <v>15306.6</v>
      </c>
      <c r="N104" s="24">
        <v>0</v>
      </c>
      <c r="P104" s="24">
        <v>0</v>
      </c>
      <c r="Q104" s="24">
        <v>0</v>
      </c>
      <c r="R104" t="s">
        <v>80</v>
      </c>
      <c r="S104" s="6">
        <f>VLOOKUP(Table1[[#This Row],[Route]],'Dropdown Lists'!$M$2:$N$7,2,FALSE)</f>
        <v>11.4</v>
      </c>
      <c r="T104" s="6"/>
      <c r="U104" s="51"/>
    </row>
    <row r="105" spans="1:21" x14ac:dyDescent="0.45">
      <c r="A105">
        <f t="shared" si="9"/>
        <v>9</v>
      </c>
      <c r="D105" s="10">
        <v>45349</v>
      </c>
      <c r="E105" s="1" t="str">
        <f t="shared" si="10"/>
        <v>Tuesday</v>
      </c>
      <c r="F105" t="s">
        <v>16</v>
      </c>
      <c r="G105" s="6">
        <v>156</v>
      </c>
      <c r="H105" s="47">
        <f t="shared" si="11"/>
        <v>148</v>
      </c>
      <c r="I105" s="24">
        <f t="shared" si="15"/>
        <v>2</v>
      </c>
      <c r="J105" s="2">
        <f t="shared" si="13"/>
        <v>309</v>
      </c>
      <c r="K105" t="s">
        <v>18</v>
      </c>
      <c r="L105" s="6">
        <f t="shared" si="14"/>
        <v>74</v>
      </c>
      <c r="M105" s="24">
        <f>SUM(H$2:H105)</f>
        <v>15454.6</v>
      </c>
      <c r="N105" s="24">
        <v>0</v>
      </c>
      <c r="P105" s="24">
        <v>0</v>
      </c>
      <c r="Q105" s="24">
        <v>0</v>
      </c>
      <c r="R105" t="s">
        <v>81</v>
      </c>
      <c r="S105" s="6">
        <f>VLOOKUP(Table1[[#This Row],[Route]],'Dropdown Lists'!$M$2:$N$7,2,FALSE)</f>
        <v>13.5</v>
      </c>
      <c r="T105" s="6"/>
      <c r="U105" s="51"/>
    </row>
    <row r="106" spans="1:21" x14ac:dyDescent="0.45">
      <c r="A106">
        <f t="shared" si="9"/>
        <v>9</v>
      </c>
      <c r="D106" s="10">
        <v>45351</v>
      </c>
      <c r="E106" s="1" t="str">
        <f t="shared" si="10"/>
        <v>Thursday</v>
      </c>
      <c r="F106" t="s">
        <v>16</v>
      </c>
      <c r="G106" s="6">
        <v>165</v>
      </c>
      <c r="H106" s="47">
        <f t="shared" si="11"/>
        <v>157</v>
      </c>
      <c r="I106" s="24">
        <f t="shared" si="15"/>
        <v>2</v>
      </c>
      <c r="J106" s="2">
        <f t="shared" si="13"/>
        <v>311</v>
      </c>
      <c r="K106" t="s">
        <v>18</v>
      </c>
      <c r="L106" s="6">
        <f t="shared" si="14"/>
        <v>78.5</v>
      </c>
      <c r="M106" s="24">
        <f>SUM(H$2:H106)</f>
        <v>15611.6</v>
      </c>
      <c r="N106" s="24">
        <v>0</v>
      </c>
      <c r="P106" s="24">
        <v>0</v>
      </c>
      <c r="Q106" s="24">
        <v>0</v>
      </c>
      <c r="R106" t="s">
        <v>81</v>
      </c>
      <c r="S106" s="6">
        <f>VLOOKUP(Table1[[#This Row],[Route]],'Dropdown Lists'!$M$2:$N$7,2,FALSE)</f>
        <v>13.5</v>
      </c>
      <c r="T106" s="6"/>
      <c r="U106" s="51"/>
    </row>
    <row r="107" spans="1:21" x14ac:dyDescent="0.45">
      <c r="A107">
        <f t="shared" si="9"/>
        <v>10</v>
      </c>
      <c r="D107" s="10">
        <v>45355</v>
      </c>
      <c r="E107" s="1" t="str">
        <f t="shared" si="10"/>
        <v>Monday</v>
      </c>
      <c r="F107" t="s">
        <v>16</v>
      </c>
      <c r="G107" s="6">
        <f>156*2</f>
        <v>312</v>
      </c>
      <c r="H107" s="47">
        <f t="shared" si="11"/>
        <v>304</v>
      </c>
      <c r="I107" s="24">
        <f t="shared" si="15"/>
        <v>4</v>
      </c>
      <c r="J107" s="2">
        <f t="shared" si="13"/>
        <v>315</v>
      </c>
      <c r="K107" t="s">
        <v>18</v>
      </c>
      <c r="L107" s="6">
        <f t="shared" si="14"/>
        <v>76</v>
      </c>
      <c r="M107" s="24">
        <f>SUM(H$2:H107)</f>
        <v>15915.6</v>
      </c>
      <c r="N107" s="24">
        <v>0</v>
      </c>
      <c r="P107" s="24">
        <v>0</v>
      </c>
      <c r="Q107" s="24">
        <v>0</v>
      </c>
      <c r="R107" t="s">
        <v>81</v>
      </c>
      <c r="S107" s="6">
        <f>VLOOKUP(Table1[[#This Row],[Route]],'Dropdown Lists'!$M$2:$N$7,2,FALSE)</f>
        <v>13.5</v>
      </c>
      <c r="T107" s="6"/>
      <c r="U107" s="51"/>
    </row>
    <row r="108" spans="1:21" x14ac:dyDescent="0.45">
      <c r="A108">
        <f t="shared" si="9"/>
        <v>10</v>
      </c>
      <c r="D108" s="10">
        <v>45357</v>
      </c>
      <c r="E108" s="1" t="str">
        <f t="shared" si="10"/>
        <v>Wednesday</v>
      </c>
      <c r="F108" t="s">
        <v>16</v>
      </c>
      <c r="G108" s="6">
        <v>156</v>
      </c>
      <c r="H108" s="47">
        <f t="shared" si="11"/>
        <v>148</v>
      </c>
      <c r="I108" s="24">
        <f t="shared" si="15"/>
        <v>2</v>
      </c>
      <c r="J108" s="2">
        <f t="shared" si="13"/>
        <v>317</v>
      </c>
      <c r="K108" t="s">
        <v>5</v>
      </c>
      <c r="L108" s="6">
        <f t="shared" si="14"/>
        <v>74</v>
      </c>
      <c r="M108" s="24">
        <f>SUM(H$2:H108)</f>
        <v>16063.6</v>
      </c>
      <c r="N108" s="24">
        <v>0</v>
      </c>
      <c r="P108" s="24">
        <v>0</v>
      </c>
      <c r="Q108" s="24">
        <v>0</v>
      </c>
      <c r="R108" t="s">
        <v>81</v>
      </c>
      <c r="S108" s="6">
        <f>VLOOKUP(Table1[[#This Row],[Route]],'Dropdown Lists'!$M$2:$N$7,2,FALSE)</f>
        <v>13.5</v>
      </c>
      <c r="T108" s="6"/>
      <c r="U108" s="51"/>
    </row>
    <row r="109" spans="1:21" x14ac:dyDescent="0.45">
      <c r="A109">
        <f t="shared" si="9"/>
        <v>11</v>
      </c>
      <c r="D109" s="10">
        <v>45362</v>
      </c>
      <c r="E109" s="1" t="str">
        <f t="shared" si="10"/>
        <v>Monday</v>
      </c>
      <c r="F109" t="s">
        <v>16</v>
      </c>
      <c r="G109" s="6">
        <f>156*2</f>
        <v>312</v>
      </c>
      <c r="H109" s="47">
        <f t="shared" si="11"/>
        <v>304</v>
      </c>
      <c r="I109" s="24">
        <f t="shared" si="15"/>
        <v>5</v>
      </c>
      <c r="J109" s="2">
        <f t="shared" si="13"/>
        <v>322</v>
      </c>
      <c r="K109" t="s">
        <v>5</v>
      </c>
      <c r="L109" s="6">
        <f t="shared" si="14"/>
        <v>60.8</v>
      </c>
      <c r="M109" s="24">
        <f>SUM(H$2:H109)</f>
        <v>16367.6</v>
      </c>
      <c r="N109" s="24">
        <v>0</v>
      </c>
      <c r="P109" s="24">
        <v>0</v>
      </c>
      <c r="Q109" s="24">
        <v>0</v>
      </c>
      <c r="R109" t="s">
        <v>81</v>
      </c>
      <c r="S109" s="6">
        <f>VLOOKUP(Table1[[#This Row],[Route]],'Dropdown Lists'!$M$2:$N$7,2,FALSE)</f>
        <v>13.5</v>
      </c>
      <c r="T109" s="6"/>
      <c r="U109" s="51"/>
    </row>
    <row r="110" spans="1:21" x14ac:dyDescent="0.45">
      <c r="A110">
        <f t="shared" si="9"/>
        <v>11</v>
      </c>
      <c r="D110" s="10">
        <v>45365</v>
      </c>
      <c r="E110" s="1" t="str">
        <f t="shared" si="10"/>
        <v>Thursday</v>
      </c>
      <c r="F110" t="s">
        <v>16</v>
      </c>
      <c r="G110" s="6">
        <v>158</v>
      </c>
      <c r="H110" s="47">
        <f t="shared" si="11"/>
        <v>150</v>
      </c>
      <c r="I110" s="24">
        <f t="shared" si="15"/>
        <v>3</v>
      </c>
      <c r="J110" s="2">
        <f t="shared" si="13"/>
        <v>325</v>
      </c>
      <c r="K110" t="s">
        <v>5</v>
      </c>
      <c r="L110" s="6">
        <f t="shared" si="14"/>
        <v>50</v>
      </c>
      <c r="M110" s="24">
        <f>SUM(H$2:H110)</f>
        <v>16517.599999999999</v>
      </c>
      <c r="N110" s="24">
        <v>0</v>
      </c>
      <c r="P110" s="24">
        <v>0</v>
      </c>
      <c r="Q110" s="24">
        <v>0</v>
      </c>
      <c r="R110" t="s">
        <v>81</v>
      </c>
      <c r="S110" s="6">
        <f>VLOOKUP(Table1[[#This Row],[Route]],'Dropdown Lists'!$M$2:$N$7,2,FALSE)</f>
        <v>13.5</v>
      </c>
      <c r="T110" s="6"/>
      <c r="U110" s="51"/>
    </row>
    <row r="111" spans="1:21" x14ac:dyDescent="0.45">
      <c r="A111">
        <f t="shared" si="9"/>
        <v>12</v>
      </c>
      <c r="D111" s="10">
        <v>45368</v>
      </c>
      <c r="E111" s="1" t="str">
        <f t="shared" si="10"/>
        <v>Sunday</v>
      </c>
      <c r="F111" t="s">
        <v>16</v>
      </c>
      <c r="G111" s="6">
        <v>200</v>
      </c>
      <c r="H111" s="47">
        <f t="shared" si="11"/>
        <v>192</v>
      </c>
      <c r="I111" s="24">
        <f t="shared" si="15"/>
        <v>3</v>
      </c>
      <c r="J111" s="2">
        <f t="shared" si="13"/>
        <v>328</v>
      </c>
      <c r="K111" t="s">
        <v>5</v>
      </c>
      <c r="L111" s="6">
        <f t="shared" si="14"/>
        <v>64</v>
      </c>
      <c r="M111" s="24">
        <f>SUM(H$2:H111)</f>
        <v>16709.599999999999</v>
      </c>
      <c r="N111" s="24">
        <v>0</v>
      </c>
      <c r="P111" s="24">
        <v>0</v>
      </c>
      <c r="Q111" s="24">
        <v>0</v>
      </c>
      <c r="R111" t="s">
        <v>80</v>
      </c>
      <c r="S111" s="6">
        <f>VLOOKUP(Table1[[#This Row],[Route]],'Dropdown Lists'!$M$2:$N$7,2,FALSE)</f>
        <v>11.4</v>
      </c>
      <c r="T111" s="6"/>
      <c r="U111" s="51"/>
    </row>
    <row r="112" spans="1:21" x14ac:dyDescent="0.45">
      <c r="A112">
        <f t="shared" si="9"/>
        <v>12</v>
      </c>
      <c r="D112" s="10">
        <v>45372</v>
      </c>
      <c r="E112" s="1" t="str">
        <f t="shared" si="10"/>
        <v>Thursday</v>
      </c>
      <c r="F112" t="s">
        <v>16</v>
      </c>
      <c r="G112" s="6">
        <v>185</v>
      </c>
      <c r="H112" s="47">
        <f t="shared" si="11"/>
        <v>177</v>
      </c>
      <c r="I112" s="24">
        <f t="shared" si="15"/>
        <v>4</v>
      </c>
      <c r="J112" s="2">
        <f t="shared" si="13"/>
        <v>332</v>
      </c>
      <c r="K112" t="s">
        <v>5</v>
      </c>
      <c r="L112" s="6">
        <f t="shared" si="14"/>
        <v>44.25</v>
      </c>
      <c r="M112" s="24">
        <f>SUM(H$2:H112)</f>
        <v>16886.599999999999</v>
      </c>
      <c r="N112" s="24">
        <v>0</v>
      </c>
      <c r="P112" s="24">
        <v>0</v>
      </c>
      <c r="Q112" s="24">
        <v>0</v>
      </c>
      <c r="R112" t="s">
        <v>81</v>
      </c>
      <c r="S112" s="6">
        <f>VLOOKUP(Table1[[#This Row],[Route]],'Dropdown Lists'!$M$2:$N$7,2,FALSE)</f>
        <v>13.5</v>
      </c>
      <c r="T112" s="6"/>
      <c r="U112" s="51"/>
    </row>
    <row r="113" spans="1:21" x14ac:dyDescent="0.45">
      <c r="A113">
        <f t="shared" si="9"/>
        <v>13</v>
      </c>
      <c r="D113" s="10">
        <v>45376</v>
      </c>
      <c r="E113" s="1" t="str">
        <f t="shared" si="10"/>
        <v>Monday</v>
      </c>
      <c r="F113" t="s">
        <v>16</v>
      </c>
      <c r="G113" s="6">
        <v>175</v>
      </c>
      <c r="H113" s="47">
        <f t="shared" si="11"/>
        <v>167</v>
      </c>
      <c r="I113" s="24">
        <f t="shared" si="15"/>
        <v>4</v>
      </c>
      <c r="J113" s="2">
        <f t="shared" si="13"/>
        <v>336</v>
      </c>
      <c r="K113" t="s">
        <v>18</v>
      </c>
      <c r="L113" s="6">
        <f t="shared" si="14"/>
        <v>41.75</v>
      </c>
      <c r="M113" s="24">
        <f>SUM(H$2:H113)</f>
        <v>17053.599999999999</v>
      </c>
      <c r="N113" s="24">
        <f>Table1[[#This Row],[Net lbs]]</f>
        <v>167</v>
      </c>
      <c r="O113" s="56">
        <f>Table1[[#This Row],[Date]]</f>
        <v>45376</v>
      </c>
      <c r="P113" s="24">
        <v>0</v>
      </c>
      <c r="Q113" s="24">
        <v>0</v>
      </c>
      <c r="R113" t="s">
        <v>81</v>
      </c>
      <c r="S113" s="6">
        <f>VLOOKUP(Table1[[#This Row],[Route]],'Dropdown Lists'!$M$2:$N$7,2,FALSE)</f>
        <v>13.5</v>
      </c>
      <c r="T113" s="6"/>
      <c r="U113" s="51"/>
    </row>
    <row r="114" spans="1:21" x14ac:dyDescent="0.45">
      <c r="A114">
        <f t="shared" si="9"/>
        <v>13</v>
      </c>
      <c r="D114" s="10">
        <v>45378</v>
      </c>
      <c r="E114" s="1" t="str">
        <f t="shared" si="10"/>
        <v>Wednesday</v>
      </c>
      <c r="F114" t="s">
        <v>16</v>
      </c>
      <c r="G114" s="6">
        <v>185</v>
      </c>
      <c r="H114" s="47">
        <f t="shared" si="11"/>
        <v>177</v>
      </c>
      <c r="I114" s="24">
        <f t="shared" si="15"/>
        <v>2</v>
      </c>
      <c r="J114" s="2">
        <f t="shared" si="13"/>
        <v>338</v>
      </c>
      <c r="K114" t="s">
        <v>5</v>
      </c>
      <c r="L114" s="6">
        <f t="shared" si="14"/>
        <v>88.5</v>
      </c>
      <c r="M114" s="24">
        <f>SUM(H$2:H114)</f>
        <v>17230.599999999999</v>
      </c>
      <c r="N114" s="24">
        <v>0</v>
      </c>
      <c r="P114" s="24">
        <v>0</v>
      </c>
      <c r="Q114" s="24">
        <v>0</v>
      </c>
      <c r="R114" t="s">
        <v>81</v>
      </c>
      <c r="S114" s="6">
        <f>VLOOKUP(Table1[[#This Row],[Route]],'Dropdown Lists'!$M$2:$N$7,2,FALSE)</f>
        <v>13.5</v>
      </c>
      <c r="T114" s="6"/>
      <c r="U114" s="51"/>
    </row>
    <row r="115" spans="1:21" x14ac:dyDescent="0.45">
      <c r="A115">
        <f t="shared" si="9"/>
        <v>13</v>
      </c>
      <c r="D115" s="10">
        <v>45381</v>
      </c>
      <c r="E115" s="1" t="str">
        <f t="shared" si="10"/>
        <v>Saturday</v>
      </c>
      <c r="F115" t="s">
        <v>16</v>
      </c>
      <c r="G115" s="6">
        <v>165</v>
      </c>
      <c r="H115" s="47">
        <f t="shared" si="11"/>
        <v>157</v>
      </c>
      <c r="I115" s="24">
        <f t="shared" si="15"/>
        <v>3</v>
      </c>
      <c r="J115" s="2">
        <f t="shared" si="13"/>
        <v>341</v>
      </c>
      <c r="K115" t="s">
        <v>5</v>
      </c>
      <c r="L115" s="6">
        <f t="shared" si="14"/>
        <v>52.333333333333336</v>
      </c>
      <c r="M115" s="24">
        <f>SUM(H$2:H115)</f>
        <v>17387.599999999999</v>
      </c>
      <c r="N115" s="24">
        <v>0</v>
      </c>
      <c r="P115" s="24">
        <v>0</v>
      </c>
      <c r="Q115" s="24">
        <v>0</v>
      </c>
      <c r="R115" t="s">
        <v>80</v>
      </c>
      <c r="S115" s="6">
        <f>VLOOKUP(Table1[[#This Row],[Route]],'Dropdown Lists'!$M$2:$N$7,2,FALSE)</f>
        <v>11.4</v>
      </c>
      <c r="T115" s="6"/>
      <c r="U115" s="51"/>
    </row>
    <row r="116" spans="1:21" x14ac:dyDescent="0.45">
      <c r="A116">
        <f t="shared" si="9"/>
        <v>14</v>
      </c>
      <c r="D116" s="10">
        <v>45383</v>
      </c>
      <c r="E116" s="1" t="str">
        <f t="shared" si="10"/>
        <v>Monday</v>
      </c>
      <c r="F116" t="s">
        <v>16</v>
      </c>
      <c r="G116" s="6">
        <v>215</v>
      </c>
      <c r="H116" s="47">
        <f t="shared" si="11"/>
        <v>207</v>
      </c>
      <c r="I116" s="24">
        <f t="shared" si="15"/>
        <v>2</v>
      </c>
      <c r="J116" s="2">
        <f t="shared" si="13"/>
        <v>343</v>
      </c>
      <c r="K116" t="s">
        <v>5</v>
      </c>
      <c r="L116" s="6">
        <f t="shared" si="14"/>
        <v>103.5</v>
      </c>
      <c r="M116" s="24">
        <f>SUM(H$2:H116)</f>
        <v>17594.599999999999</v>
      </c>
      <c r="N116" s="24">
        <v>0</v>
      </c>
      <c r="P116" s="24">
        <v>0</v>
      </c>
      <c r="Q116" s="24">
        <v>0</v>
      </c>
      <c r="R116" t="s">
        <v>81</v>
      </c>
      <c r="S116" s="6">
        <f>VLOOKUP(Table1[[#This Row],[Route]],'Dropdown Lists'!$M$2:$N$7,2,FALSE)</f>
        <v>13.5</v>
      </c>
      <c r="T116" s="6"/>
      <c r="U116" s="51"/>
    </row>
    <row r="117" spans="1:21" x14ac:dyDescent="0.45">
      <c r="A117">
        <f t="shared" si="9"/>
        <v>14</v>
      </c>
      <c r="D117" s="10">
        <v>45386</v>
      </c>
      <c r="E117" s="1" t="str">
        <f t="shared" si="10"/>
        <v>Thursday</v>
      </c>
      <c r="F117" t="s">
        <v>16</v>
      </c>
      <c r="G117" s="6">
        <v>200</v>
      </c>
      <c r="H117" s="47">
        <f t="shared" si="11"/>
        <v>192</v>
      </c>
      <c r="I117" s="24">
        <f t="shared" si="15"/>
        <v>3</v>
      </c>
      <c r="J117" s="2">
        <f t="shared" si="13"/>
        <v>346</v>
      </c>
      <c r="K117" t="s">
        <v>5</v>
      </c>
      <c r="L117" s="6">
        <f t="shared" si="14"/>
        <v>64</v>
      </c>
      <c r="M117" s="24">
        <f>SUM(H$2:H117)</f>
        <v>17786.599999999999</v>
      </c>
      <c r="N117" s="24">
        <v>0</v>
      </c>
      <c r="P117" s="24">
        <v>0</v>
      </c>
      <c r="Q117" s="24">
        <v>0</v>
      </c>
      <c r="R117" t="s">
        <v>81</v>
      </c>
      <c r="S117" s="6">
        <f>VLOOKUP(Table1[[#This Row],[Route]],'Dropdown Lists'!$M$2:$N$7,2,FALSE)</f>
        <v>13.5</v>
      </c>
      <c r="T117" s="6"/>
      <c r="U117" s="51"/>
    </row>
    <row r="118" spans="1:21" x14ac:dyDescent="0.45">
      <c r="A118">
        <f t="shared" si="9"/>
        <v>15</v>
      </c>
      <c r="D118" s="10">
        <v>45390</v>
      </c>
      <c r="E118" s="1" t="str">
        <f t="shared" si="10"/>
        <v>Monday</v>
      </c>
      <c r="F118" t="s">
        <v>16</v>
      </c>
      <c r="G118" s="6">
        <v>377</v>
      </c>
      <c r="H118" s="47">
        <f t="shared" si="11"/>
        <v>369</v>
      </c>
      <c r="I118" s="24">
        <f t="shared" si="15"/>
        <v>4</v>
      </c>
      <c r="J118" s="2">
        <f t="shared" si="13"/>
        <v>350</v>
      </c>
      <c r="K118" t="s">
        <v>5</v>
      </c>
      <c r="L118" s="6">
        <f t="shared" si="14"/>
        <v>92.25</v>
      </c>
      <c r="M118" s="24">
        <f>SUM(H$2:H118)</f>
        <v>18155.599999999999</v>
      </c>
      <c r="N118" s="24">
        <v>0</v>
      </c>
      <c r="P118" s="24">
        <v>0</v>
      </c>
      <c r="Q118" s="24">
        <v>0</v>
      </c>
      <c r="R118" t="s">
        <v>81</v>
      </c>
      <c r="S118" s="6">
        <f>VLOOKUP(Table1[[#This Row],[Route]],'Dropdown Lists'!$M$2:$N$7,2,FALSE)</f>
        <v>13.5</v>
      </c>
      <c r="T118" s="6"/>
      <c r="U118" s="51"/>
    </row>
    <row r="119" spans="1:21" x14ac:dyDescent="0.45">
      <c r="A119">
        <f t="shared" si="9"/>
        <v>15</v>
      </c>
      <c r="D119" s="10">
        <v>45393</v>
      </c>
      <c r="E119" s="1" t="str">
        <f t="shared" si="10"/>
        <v>Thursday</v>
      </c>
      <c r="F119" t="s">
        <v>16</v>
      </c>
      <c r="G119" s="6">
        <v>172</v>
      </c>
      <c r="H119" s="47">
        <f t="shared" si="11"/>
        <v>164</v>
      </c>
      <c r="I119" s="24">
        <f t="shared" si="15"/>
        <v>3</v>
      </c>
      <c r="J119" s="2">
        <f t="shared" si="13"/>
        <v>353</v>
      </c>
      <c r="K119" t="s">
        <v>5</v>
      </c>
      <c r="L119" s="6">
        <f t="shared" si="14"/>
        <v>54.666666666666664</v>
      </c>
      <c r="M119" s="24">
        <f>SUM(H$2:H119)</f>
        <v>18319.599999999999</v>
      </c>
      <c r="N119" s="24">
        <v>0</v>
      </c>
      <c r="P119" s="24">
        <v>0</v>
      </c>
      <c r="Q119" s="24">
        <v>0</v>
      </c>
      <c r="R119" t="s">
        <v>81</v>
      </c>
      <c r="S119" s="6">
        <f>VLOOKUP(Table1[[#This Row],[Route]],'Dropdown Lists'!$M$2:$N$7,2,FALSE)</f>
        <v>13.5</v>
      </c>
      <c r="T119" s="6"/>
      <c r="U119" s="51"/>
    </row>
    <row r="120" spans="1:21" x14ac:dyDescent="0.45">
      <c r="A120">
        <f t="shared" si="9"/>
        <v>16</v>
      </c>
      <c r="D120" s="10">
        <v>45396</v>
      </c>
      <c r="E120" s="1" t="str">
        <f t="shared" si="10"/>
        <v>Sunday</v>
      </c>
      <c r="F120" t="s">
        <v>16</v>
      </c>
      <c r="G120" s="6">
        <v>200</v>
      </c>
      <c r="H120" s="47">
        <f t="shared" si="11"/>
        <v>192</v>
      </c>
      <c r="I120" s="24">
        <f t="shared" si="15"/>
        <v>3</v>
      </c>
      <c r="J120" s="2">
        <f t="shared" si="13"/>
        <v>356</v>
      </c>
      <c r="K120" t="s">
        <v>18</v>
      </c>
      <c r="L120" s="6">
        <f t="shared" si="14"/>
        <v>64</v>
      </c>
      <c r="M120" s="24">
        <f>SUM(H$2:H120)</f>
        <v>18511.599999999999</v>
      </c>
      <c r="N120" s="24">
        <v>0</v>
      </c>
      <c r="P120" s="24">
        <v>0</v>
      </c>
      <c r="Q120" s="24">
        <v>0</v>
      </c>
      <c r="R120" t="s">
        <v>80</v>
      </c>
      <c r="S120" s="6">
        <f>VLOOKUP(Table1[[#This Row],[Route]],'Dropdown Lists'!$M$2:$N$7,2,FALSE)</f>
        <v>11.4</v>
      </c>
      <c r="T120" s="6"/>
      <c r="U120" s="51"/>
    </row>
    <row r="121" spans="1:21" x14ac:dyDescent="0.45">
      <c r="A121">
        <f t="shared" si="9"/>
        <v>16</v>
      </c>
      <c r="D121" s="10">
        <v>45398</v>
      </c>
      <c r="E121" s="1" t="str">
        <f t="shared" si="10"/>
        <v>Tuesday</v>
      </c>
      <c r="F121" t="s">
        <v>16</v>
      </c>
      <c r="G121" s="6">
        <v>176</v>
      </c>
      <c r="H121" s="47">
        <f t="shared" si="11"/>
        <v>168</v>
      </c>
      <c r="I121" s="24">
        <f t="shared" si="15"/>
        <v>2</v>
      </c>
      <c r="J121" s="2">
        <f t="shared" si="13"/>
        <v>358</v>
      </c>
      <c r="K121" t="s">
        <v>18</v>
      </c>
      <c r="L121" s="6">
        <f t="shared" si="14"/>
        <v>84</v>
      </c>
      <c r="M121" s="24">
        <f>SUM(H$2:H121)</f>
        <v>18679.599999999999</v>
      </c>
      <c r="N121" s="24">
        <v>0</v>
      </c>
      <c r="P121" s="24">
        <v>0</v>
      </c>
      <c r="Q121" s="24">
        <v>0</v>
      </c>
      <c r="R121" t="s">
        <v>81</v>
      </c>
      <c r="S121" s="6">
        <f>VLOOKUP(Table1[[#This Row],[Route]],'Dropdown Lists'!$M$2:$N$7,2,FALSE)</f>
        <v>13.5</v>
      </c>
      <c r="T121" s="6"/>
      <c r="U121" s="51"/>
    </row>
    <row r="122" spans="1:21" x14ac:dyDescent="0.45">
      <c r="A122">
        <f t="shared" si="9"/>
        <v>16</v>
      </c>
      <c r="D122" s="10">
        <v>45400</v>
      </c>
      <c r="E122" s="1" t="str">
        <f t="shared" si="10"/>
        <v>Thursday</v>
      </c>
      <c r="F122" t="s">
        <v>16</v>
      </c>
      <c r="G122" s="6">
        <v>165</v>
      </c>
      <c r="H122" s="47">
        <f t="shared" si="11"/>
        <v>157</v>
      </c>
      <c r="I122" s="24">
        <f t="shared" si="15"/>
        <v>2</v>
      </c>
      <c r="J122" s="2">
        <f t="shared" si="13"/>
        <v>360</v>
      </c>
      <c r="K122" t="s">
        <v>18</v>
      </c>
      <c r="L122" s="6">
        <f t="shared" si="14"/>
        <v>78.5</v>
      </c>
      <c r="M122" s="24">
        <f>SUM(H$2:H122)</f>
        <v>18836.599999999999</v>
      </c>
      <c r="N122" s="24">
        <v>0</v>
      </c>
      <c r="P122" s="24">
        <v>0</v>
      </c>
      <c r="Q122" s="24">
        <v>0</v>
      </c>
      <c r="R122" t="s">
        <v>81</v>
      </c>
      <c r="S122" s="6">
        <f>VLOOKUP(Table1[[#This Row],[Route]],'Dropdown Lists'!$M$2:$N$7,2,FALSE)</f>
        <v>13.5</v>
      </c>
      <c r="T122" s="6"/>
      <c r="U122" s="51"/>
    </row>
    <row r="123" spans="1:21" x14ac:dyDescent="0.45">
      <c r="A123">
        <f t="shared" si="9"/>
        <v>17</v>
      </c>
      <c r="D123" s="10">
        <v>45403</v>
      </c>
      <c r="E123" s="1" t="str">
        <f t="shared" si="10"/>
        <v>Sunday</v>
      </c>
      <c r="F123" t="s">
        <v>16</v>
      </c>
      <c r="G123" s="6">
        <v>186</v>
      </c>
      <c r="H123" s="47">
        <f t="shared" si="11"/>
        <v>178</v>
      </c>
      <c r="I123" s="24">
        <f t="shared" si="15"/>
        <v>3</v>
      </c>
      <c r="J123" s="2">
        <f t="shared" si="13"/>
        <v>363</v>
      </c>
      <c r="K123" t="s">
        <v>18</v>
      </c>
      <c r="L123" s="6">
        <f t="shared" si="14"/>
        <v>59.333333333333336</v>
      </c>
      <c r="M123" s="24">
        <f>SUM(H$2:H123)</f>
        <v>19014.599999999999</v>
      </c>
      <c r="N123" s="24">
        <v>0</v>
      </c>
      <c r="P123" s="24">
        <v>0</v>
      </c>
      <c r="Q123" s="24">
        <v>0</v>
      </c>
      <c r="R123" t="s">
        <v>80</v>
      </c>
      <c r="S123" s="6">
        <f>VLOOKUP(Table1[[#This Row],[Route]],'Dropdown Lists'!$M$2:$N$7,2,FALSE)</f>
        <v>11.4</v>
      </c>
      <c r="T123" s="6"/>
      <c r="U123" s="51"/>
    </row>
    <row r="124" spans="1:21" x14ac:dyDescent="0.45">
      <c r="A124">
        <f t="shared" si="9"/>
        <v>17</v>
      </c>
      <c r="D124" s="10">
        <v>45406</v>
      </c>
      <c r="E124" s="1" t="str">
        <f t="shared" si="10"/>
        <v>Wednesday</v>
      </c>
      <c r="F124" t="s">
        <v>16</v>
      </c>
      <c r="G124" s="6">
        <v>196</v>
      </c>
      <c r="H124" s="47">
        <f t="shared" si="11"/>
        <v>188</v>
      </c>
      <c r="I124" s="24">
        <f t="shared" si="15"/>
        <v>3</v>
      </c>
      <c r="J124" s="2">
        <f t="shared" si="13"/>
        <v>366</v>
      </c>
      <c r="K124" t="s">
        <v>18</v>
      </c>
      <c r="L124" s="6">
        <f t="shared" si="14"/>
        <v>62.666666666666664</v>
      </c>
      <c r="M124" s="24">
        <f>SUM(H$2:H124)</f>
        <v>19202.599999999999</v>
      </c>
      <c r="N124" s="24">
        <v>0</v>
      </c>
      <c r="P124" s="24">
        <v>0</v>
      </c>
      <c r="Q124" s="24">
        <v>0</v>
      </c>
      <c r="R124" t="s">
        <v>81</v>
      </c>
      <c r="S124" s="6">
        <f>VLOOKUP(Table1[[#This Row],[Route]],'Dropdown Lists'!$M$2:$N$7,2,FALSE)</f>
        <v>13.5</v>
      </c>
      <c r="T124" s="6"/>
      <c r="U124" s="51"/>
    </row>
    <row r="125" spans="1:21" x14ac:dyDescent="0.45">
      <c r="A125">
        <f t="shared" si="9"/>
        <v>18</v>
      </c>
      <c r="D125" s="10">
        <v>45411</v>
      </c>
      <c r="E125" s="1" t="str">
        <f t="shared" si="10"/>
        <v>Monday</v>
      </c>
      <c r="F125" t="s">
        <v>16</v>
      </c>
      <c r="G125" s="6">
        <f>199+180</f>
        <v>379</v>
      </c>
      <c r="H125" s="47">
        <f t="shared" si="11"/>
        <v>371</v>
      </c>
      <c r="I125" s="24">
        <f t="shared" si="15"/>
        <v>5</v>
      </c>
      <c r="J125" s="2">
        <f t="shared" si="13"/>
        <v>371</v>
      </c>
      <c r="K125" t="s">
        <v>18</v>
      </c>
      <c r="L125" s="6">
        <f t="shared" si="14"/>
        <v>74.2</v>
      </c>
      <c r="M125" s="24">
        <f>SUM(H$2:H125)</f>
        <v>19573.599999999999</v>
      </c>
      <c r="N125" s="24">
        <f>Table1[[#This Row],[Net lbs]]</f>
        <v>371</v>
      </c>
      <c r="O125" s="56">
        <f>Table1[[#This Row],[Date]]</f>
        <v>45411</v>
      </c>
      <c r="P125" s="24">
        <v>0</v>
      </c>
      <c r="Q125" s="24">
        <v>0</v>
      </c>
      <c r="R125" t="s">
        <v>81</v>
      </c>
      <c r="S125" s="6">
        <f>VLOOKUP(Table1[[#This Row],[Route]],'Dropdown Lists'!$M$2:$N$7,2,FALSE)</f>
        <v>13.5</v>
      </c>
      <c r="T125" s="6"/>
      <c r="U125" s="51"/>
    </row>
    <row r="126" spans="1:21" x14ac:dyDescent="0.45">
      <c r="A126">
        <f t="shared" si="9"/>
        <v>19</v>
      </c>
      <c r="D126" s="10">
        <v>45418</v>
      </c>
      <c r="E126" s="1" t="str">
        <f t="shared" si="10"/>
        <v>Monday</v>
      </c>
      <c r="F126" t="s">
        <v>16</v>
      </c>
      <c r="G126" s="6">
        <f>190.14+127.2</f>
        <v>317.33999999999997</v>
      </c>
      <c r="H126" s="47">
        <f t="shared" si="11"/>
        <v>309.33999999999997</v>
      </c>
      <c r="I126" s="24">
        <f t="shared" si="15"/>
        <v>7</v>
      </c>
      <c r="J126" s="2">
        <f t="shared" si="13"/>
        <v>378</v>
      </c>
      <c r="K126" t="s">
        <v>18</v>
      </c>
      <c r="L126" s="6">
        <f t="shared" si="14"/>
        <v>44.191428571428567</v>
      </c>
      <c r="M126" s="24">
        <f>SUM(H$2:H126)</f>
        <v>19882.939999999999</v>
      </c>
      <c r="N126" s="24">
        <v>0</v>
      </c>
      <c r="P126" s="24">
        <v>0</v>
      </c>
      <c r="Q126" s="24">
        <v>0</v>
      </c>
      <c r="R126" t="s">
        <v>81</v>
      </c>
      <c r="S126" s="6">
        <f>VLOOKUP(Table1[[#This Row],[Route]],'Dropdown Lists'!$M$2:$N$7,2,FALSE)</f>
        <v>13.5</v>
      </c>
      <c r="T126" s="6"/>
      <c r="U126" s="51"/>
    </row>
    <row r="127" spans="1:21" x14ac:dyDescent="0.45">
      <c r="A127">
        <f t="shared" si="9"/>
        <v>20</v>
      </c>
      <c r="D127" s="10">
        <v>45427</v>
      </c>
      <c r="E127" s="1" t="str">
        <f t="shared" si="10"/>
        <v>Wednesday</v>
      </c>
      <c r="F127" t="s">
        <v>16</v>
      </c>
      <c r="G127" s="6">
        <f>149.5+159.04</f>
        <v>308.53999999999996</v>
      </c>
      <c r="H127" s="47">
        <f t="shared" si="11"/>
        <v>300.53999999999996</v>
      </c>
      <c r="I127" s="24">
        <f t="shared" si="15"/>
        <v>9</v>
      </c>
      <c r="J127" s="2">
        <f t="shared" si="13"/>
        <v>387</v>
      </c>
      <c r="K127" t="s">
        <v>18</v>
      </c>
      <c r="L127" s="6">
        <f t="shared" si="14"/>
        <v>33.393333333333331</v>
      </c>
      <c r="M127" s="24">
        <f>SUM(H$2:H127)</f>
        <v>20183.48</v>
      </c>
      <c r="N127" s="24">
        <v>0</v>
      </c>
      <c r="P127" s="24">
        <v>0</v>
      </c>
      <c r="Q127" s="24">
        <v>0</v>
      </c>
      <c r="R127" t="s">
        <v>81</v>
      </c>
      <c r="S127" s="6">
        <f>VLOOKUP(Table1[[#This Row],[Route]],'Dropdown Lists'!$M$2:$N$7,2,FALSE)</f>
        <v>13.5</v>
      </c>
      <c r="T127" s="6"/>
      <c r="U127" s="51"/>
    </row>
    <row r="128" spans="1:21" x14ac:dyDescent="0.45">
      <c r="A128">
        <f t="shared" si="9"/>
        <v>21</v>
      </c>
      <c r="D128" s="10">
        <v>45432</v>
      </c>
      <c r="E128" s="1" t="str">
        <f t="shared" si="10"/>
        <v>Monday</v>
      </c>
      <c r="F128" t="s">
        <v>16</v>
      </c>
      <c r="G128" s="6">
        <f>169.9+206.15</f>
        <v>376.05</v>
      </c>
      <c r="H128" s="47">
        <f t="shared" si="11"/>
        <v>368.05</v>
      </c>
      <c r="I128" s="24">
        <f t="shared" si="15"/>
        <v>5</v>
      </c>
      <c r="J128" s="2">
        <f t="shared" si="13"/>
        <v>392</v>
      </c>
      <c r="K128" t="s">
        <v>18</v>
      </c>
      <c r="L128" s="6">
        <f t="shared" si="14"/>
        <v>73.61</v>
      </c>
      <c r="M128" s="24">
        <f>SUM(H$2:H128)</f>
        <v>20551.53</v>
      </c>
      <c r="N128" s="24">
        <v>206.15</v>
      </c>
      <c r="O128" s="56">
        <f>Table1[[#This Row],[Date]]</f>
        <v>45432</v>
      </c>
      <c r="P128" s="24">
        <v>0</v>
      </c>
      <c r="Q128" s="24">
        <v>0</v>
      </c>
      <c r="R128" t="s">
        <v>81</v>
      </c>
      <c r="S128" s="6">
        <f>VLOOKUP(Table1[[#This Row],[Route]],'Dropdown Lists'!$M$2:$N$7,2,FALSE)</f>
        <v>13.5</v>
      </c>
      <c r="T128" s="6"/>
      <c r="U128" s="51"/>
    </row>
    <row r="129" spans="1:21" x14ac:dyDescent="0.45">
      <c r="A129">
        <f t="shared" si="9"/>
        <v>21</v>
      </c>
      <c r="D129" s="10">
        <v>45434</v>
      </c>
      <c r="E129" s="1" t="str">
        <f t="shared" si="10"/>
        <v>Wednesday</v>
      </c>
      <c r="F129" t="s">
        <v>16</v>
      </c>
      <c r="G129" s="6">
        <v>207</v>
      </c>
      <c r="H129" s="47">
        <f t="shared" si="11"/>
        <v>199</v>
      </c>
      <c r="I129" s="24">
        <f t="shared" si="15"/>
        <v>2</v>
      </c>
      <c r="J129" s="2">
        <f t="shared" si="13"/>
        <v>394</v>
      </c>
      <c r="K129" t="s">
        <v>18</v>
      </c>
      <c r="L129" s="6">
        <f t="shared" si="14"/>
        <v>99.5</v>
      </c>
      <c r="M129" s="24">
        <f>SUM(H$2:H129)</f>
        <v>20750.53</v>
      </c>
      <c r="N129" s="24">
        <v>0</v>
      </c>
      <c r="P129" s="24">
        <v>0</v>
      </c>
      <c r="Q129" s="24">
        <v>0</v>
      </c>
      <c r="R129" t="s">
        <v>81</v>
      </c>
      <c r="S129" s="6">
        <f>VLOOKUP(Table1[[#This Row],[Route]],'Dropdown Lists'!$M$2:$N$7,2,FALSE)</f>
        <v>13.5</v>
      </c>
      <c r="T129" s="6"/>
      <c r="U129" s="51"/>
    </row>
    <row r="130" spans="1:21" x14ac:dyDescent="0.45">
      <c r="A130">
        <f t="shared" ref="A130:A193" si="16">WEEKNUM(D130,1)</f>
        <v>22</v>
      </c>
      <c r="D130" s="10">
        <v>45442</v>
      </c>
      <c r="E130" s="1" t="str">
        <f t="shared" ref="E130:E193" si="17">TEXT(D130,"dddd")</f>
        <v>Thursday</v>
      </c>
      <c r="F130" t="s">
        <v>16</v>
      </c>
      <c r="G130" s="6">
        <f>198+175</f>
        <v>373</v>
      </c>
      <c r="H130" s="47">
        <f t="shared" ref="H130:H193" si="18">G130-8</f>
        <v>365</v>
      </c>
      <c r="I130" s="24">
        <f t="shared" si="15"/>
        <v>8</v>
      </c>
      <c r="J130" s="2">
        <f t="shared" si="13"/>
        <v>402</v>
      </c>
      <c r="K130" t="s">
        <v>18</v>
      </c>
      <c r="L130" s="6">
        <f t="shared" si="14"/>
        <v>45.625</v>
      </c>
      <c r="M130" s="24">
        <f>SUM(H$2:H130)</f>
        <v>21115.53</v>
      </c>
      <c r="N130" s="24">
        <v>321.75</v>
      </c>
      <c r="O130" s="56">
        <f>Table1[[#This Row],[Date]]</f>
        <v>45442</v>
      </c>
      <c r="P130" s="24">
        <v>0</v>
      </c>
      <c r="Q130" s="24">
        <v>0</v>
      </c>
      <c r="R130" t="s">
        <v>80</v>
      </c>
      <c r="S130" s="6">
        <f>VLOOKUP(Table1[[#This Row],[Route]],'Dropdown Lists'!$M$2:$N$7,2,FALSE)</f>
        <v>11.4</v>
      </c>
      <c r="T130" s="6"/>
      <c r="U130" s="51"/>
    </row>
    <row r="131" spans="1:21" x14ac:dyDescent="0.45">
      <c r="A131">
        <f t="shared" si="16"/>
        <v>23</v>
      </c>
      <c r="D131" s="10">
        <v>45445</v>
      </c>
      <c r="E131" s="1" t="str">
        <f t="shared" si="17"/>
        <v>Sunday</v>
      </c>
      <c r="F131" t="s">
        <v>16</v>
      </c>
      <c r="G131" s="6">
        <v>127.52</v>
      </c>
      <c r="H131" s="47">
        <f t="shared" si="18"/>
        <v>119.52</v>
      </c>
      <c r="I131" s="24">
        <f t="shared" ref="I131:I162" si="19">IF(D131-D130&lt;0, 0, D131-D130)</f>
        <v>3</v>
      </c>
      <c r="J131" s="2">
        <f t="shared" ref="J131:J194" si="20">D131-$D$2</f>
        <v>405</v>
      </c>
      <c r="K131" t="s">
        <v>18</v>
      </c>
      <c r="L131" s="6">
        <f t="shared" ref="L131:L194" si="21">H131/I131</f>
        <v>39.839999999999996</v>
      </c>
      <c r="M131" s="24">
        <f>SUM(H$2:H131)</f>
        <v>21235.05</v>
      </c>
      <c r="N131" s="24">
        <v>0</v>
      </c>
      <c r="P131" s="24">
        <v>0</v>
      </c>
      <c r="Q131" s="24">
        <v>0</v>
      </c>
      <c r="R131" t="s">
        <v>80</v>
      </c>
      <c r="S131" s="6">
        <f>VLOOKUP(Table1[[#This Row],[Route]],'Dropdown Lists'!$M$2:$N$7,2,FALSE)</f>
        <v>11.4</v>
      </c>
      <c r="T131" s="6"/>
      <c r="U131" s="51"/>
    </row>
    <row r="132" spans="1:21" x14ac:dyDescent="0.45">
      <c r="A132">
        <f t="shared" si="16"/>
        <v>23</v>
      </c>
      <c r="D132" s="10">
        <v>45449</v>
      </c>
      <c r="E132" s="1" t="str">
        <f t="shared" si="17"/>
        <v>Thursday</v>
      </c>
      <c r="F132" t="s">
        <v>16</v>
      </c>
      <c r="G132" s="6">
        <f>115.82+161.68+170.48</f>
        <v>447.98</v>
      </c>
      <c r="H132" s="47">
        <f t="shared" si="18"/>
        <v>439.98</v>
      </c>
      <c r="I132" s="24">
        <f t="shared" si="19"/>
        <v>4</v>
      </c>
      <c r="J132" s="2">
        <f t="shared" si="20"/>
        <v>409</v>
      </c>
      <c r="K132" t="s">
        <v>18</v>
      </c>
      <c r="L132" s="6">
        <f t="shared" si="21"/>
        <v>109.995</v>
      </c>
      <c r="M132" s="24">
        <f>SUM(H$2:H132)</f>
        <v>21675.03</v>
      </c>
      <c r="N132" s="24">
        <v>0</v>
      </c>
      <c r="P132" s="24">
        <v>0</v>
      </c>
      <c r="Q132" s="24">
        <v>0</v>
      </c>
      <c r="R132" t="s">
        <v>80</v>
      </c>
      <c r="S132" s="6">
        <f>VLOOKUP(Table1[[#This Row],[Route]],'Dropdown Lists'!$M$2:$N$7,2,FALSE)</f>
        <v>11.4</v>
      </c>
      <c r="T132" s="6"/>
      <c r="U132" s="51"/>
    </row>
    <row r="133" spans="1:21" x14ac:dyDescent="0.45">
      <c r="A133">
        <f t="shared" si="16"/>
        <v>24</v>
      </c>
      <c r="D133" s="10">
        <v>45455</v>
      </c>
      <c r="E133" s="1" t="str">
        <f t="shared" si="17"/>
        <v>Wednesday</v>
      </c>
      <c r="F133" t="s">
        <v>16</v>
      </c>
      <c r="G133" s="6">
        <f>155.375+174.4375</f>
        <v>329.8125</v>
      </c>
      <c r="H133" s="47">
        <f t="shared" si="18"/>
        <v>321.8125</v>
      </c>
      <c r="I133" s="24">
        <f t="shared" si="19"/>
        <v>6</v>
      </c>
      <c r="J133" s="2">
        <f t="shared" si="20"/>
        <v>415</v>
      </c>
      <c r="K133" t="s">
        <v>18</v>
      </c>
      <c r="L133" s="6">
        <f t="shared" si="21"/>
        <v>53.635416666666664</v>
      </c>
      <c r="M133" s="24">
        <f>SUM(H$2:H133)</f>
        <v>21996.842499999999</v>
      </c>
      <c r="N133" s="24">
        <f>Table1[[#This Row],[SCG mass lbs]]</f>
        <v>329.8125</v>
      </c>
      <c r="O133" s="56">
        <f>Table1[[#This Row],[Date]]</f>
        <v>45455</v>
      </c>
      <c r="P133" s="24">
        <v>0</v>
      </c>
      <c r="Q133" s="24">
        <v>0</v>
      </c>
      <c r="R133" t="s">
        <v>80</v>
      </c>
      <c r="S133" s="6">
        <f>VLOOKUP(Table1[[#This Row],[Route]],'Dropdown Lists'!$M$2:$N$7,2,FALSE)</f>
        <v>11.4</v>
      </c>
      <c r="T133" s="6"/>
      <c r="U133" s="51"/>
    </row>
    <row r="134" spans="1:21" x14ac:dyDescent="0.45">
      <c r="A134">
        <f t="shared" si="16"/>
        <v>24</v>
      </c>
      <c r="D134" s="10">
        <v>45458</v>
      </c>
      <c r="E134" s="1" t="str">
        <f t="shared" si="17"/>
        <v>Saturday</v>
      </c>
      <c r="F134" t="s">
        <v>16</v>
      </c>
      <c r="G134" s="6">
        <f>126.8+191+134</f>
        <v>451.8</v>
      </c>
      <c r="H134" s="47">
        <f t="shared" si="18"/>
        <v>443.8</v>
      </c>
      <c r="I134" s="24">
        <f t="shared" si="19"/>
        <v>3</v>
      </c>
      <c r="J134" s="2">
        <f t="shared" si="20"/>
        <v>418</v>
      </c>
      <c r="K134" t="s">
        <v>18</v>
      </c>
      <c r="L134" s="6">
        <f t="shared" si="21"/>
        <v>147.93333333333334</v>
      </c>
      <c r="M134" s="24">
        <f>SUM(H$2:H134)</f>
        <v>22440.642499999998</v>
      </c>
      <c r="N134" s="24">
        <v>0</v>
      </c>
      <c r="P134" s="24">
        <v>0</v>
      </c>
      <c r="Q134" s="24">
        <v>0</v>
      </c>
      <c r="R134" t="s">
        <v>80</v>
      </c>
      <c r="S134" s="6">
        <f>VLOOKUP(Table1[[#This Row],[Route]],'Dropdown Lists'!$M$2:$N$7,2,FALSE)</f>
        <v>11.4</v>
      </c>
      <c r="T134" s="6"/>
      <c r="U134" s="51"/>
    </row>
    <row r="135" spans="1:21" x14ac:dyDescent="0.45">
      <c r="A135">
        <f t="shared" si="16"/>
        <v>25</v>
      </c>
      <c r="D135" s="10">
        <v>45461</v>
      </c>
      <c r="E135" s="1" t="str">
        <f t="shared" si="17"/>
        <v>Tuesday</v>
      </c>
      <c r="F135" t="s">
        <v>16</v>
      </c>
      <c r="G135" s="6">
        <v>161</v>
      </c>
      <c r="H135" s="47">
        <f t="shared" si="18"/>
        <v>153</v>
      </c>
      <c r="I135" s="24">
        <f t="shared" si="19"/>
        <v>3</v>
      </c>
      <c r="J135" s="2">
        <f t="shared" si="20"/>
        <v>421</v>
      </c>
      <c r="K135" t="s">
        <v>18</v>
      </c>
      <c r="L135" s="6">
        <f t="shared" si="21"/>
        <v>51</v>
      </c>
      <c r="M135" s="24">
        <f>SUM(H$2:H135)</f>
        <v>22593.642499999998</v>
      </c>
      <c r="N135" s="24">
        <v>0</v>
      </c>
      <c r="P135" s="24">
        <v>0</v>
      </c>
      <c r="Q135" s="24">
        <v>0</v>
      </c>
      <c r="R135" t="s">
        <v>80</v>
      </c>
      <c r="S135" s="6">
        <f>VLOOKUP(Table1[[#This Row],[Route]],'Dropdown Lists'!$M$2:$N$7,2,FALSE)</f>
        <v>11.4</v>
      </c>
      <c r="T135" s="6"/>
      <c r="U135" s="51"/>
    </row>
    <row r="136" spans="1:21" x14ac:dyDescent="0.45">
      <c r="A136">
        <f t="shared" si="16"/>
        <v>26</v>
      </c>
      <c r="D136" s="10">
        <v>45468</v>
      </c>
      <c r="E136" s="1" t="str">
        <f t="shared" si="17"/>
        <v>Tuesday</v>
      </c>
      <c r="F136" t="s">
        <v>16</v>
      </c>
      <c r="G136" s="2">
        <v>152.02000000000001</v>
      </c>
      <c r="H136" s="47">
        <f t="shared" si="18"/>
        <v>144.02000000000001</v>
      </c>
      <c r="I136" s="24">
        <f t="shared" si="19"/>
        <v>7</v>
      </c>
      <c r="J136" s="2">
        <f t="shared" si="20"/>
        <v>428</v>
      </c>
      <c r="K136" t="s">
        <v>18</v>
      </c>
      <c r="L136" s="6">
        <f t="shared" si="21"/>
        <v>20.574285714285715</v>
      </c>
      <c r="M136" s="24">
        <f>SUM(H$2:H136)</f>
        <v>22737.662499999999</v>
      </c>
      <c r="N136" s="24">
        <v>0</v>
      </c>
      <c r="P136" s="24">
        <v>0</v>
      </c>
      <c r="Q136" s="24">
        <v>0</v>
      </c>
      <c r="R136" t="s">
        <v>80</v>
      </c>
      <c r="S136" s="6">
        <f>VLOOKUP(Table1[[#This Row],[Route]],'Dropdown Lists'!$M$2:$N$7,2,FALSE)</f>
        <v>11.4</v>
      </c>
      <c r="T136" s="6"/>
      <c r="U136" s="51"/>
    </row>
    <row r="137" spans="1:21" x14ac:dyDescent="0.45">
      <c r="A137">
        <f t="shared" si="16"/>
        <v>27</v>
      </c>
      <c r="D137" s="10">
        <v>45473</v>
      </c>
      <c r="E137" s="1" t="str">
        <f t="shared" si="17"/>
        <v>Sunday</v>
      </c>
      <c r="F137" t="s">
        <v>16</v>
      </c>
      <c r="G137" s="6">
        <f>112.04+138.84+147.76</f>
        <v>398.64</v>
      </c>
      <c r="H137" s="47">
        <f t="shared" si="18"/>
        <v>390.64</v>
      </c>
      <c r="I137" s="24">
        <f t="shared" si="19"/>
        <v>5</v>
      </c>
      <c r="J137" s="2">
        <f t="shared" si="20"/>
        <v>433</v>
      </c>
      <c r="K137" t="s">
        <v>18</v>
      </c>
      <c r="L137" s="6">
        <f t="shared" si="21"/>
        <v>78.128</v>
      </c>
      <c r="M137" s="24">
        <f>SUM(H$2:H137)</f>
        <v>23128.302499999998</v>
      </c>
      <c r="N137" s="24">
        <v>0</v>
      </c>
      <c r="P137" s="24">
        <v>0</v>
      </c>
      <c r="Q137" s="24">
        <v>0</v>
      </c>
      <c r="R137" t="s">
        <v>80</v>
      </c>
      <c r="S137" s="6">
        <f>VLOOKUP(Table1[[#This Row],[Route]],'Dropdown Lists'!$M$2:$N$7,2,FALSE)</f>
        <v>11.4</v>
      </c>
      <c r="T137" s="6"/>
      <c r="U137" s="51"/>
    </row>
    <row r="138" spans="1:21" x14ac:dyDescent="0.45">
      <c r="A138">
        <f t="shared" si="16"/>
        <v>27</v>
      </c>
      <c r="D138" s="10">
        <v>45478</v>
      </c>
      <c r="E138" s="1" t="str">
        <f t="shared" si="17"/>
        <v>Friday</v>
      </c>
      <c r="F138" t="s">
        <v>16</v>
      </c>
      <c r="G138" s="6">
        <f>195.48+177.08</f>
        <v>372.56</v>
      </c>
      <c r="H138" s="47">
        <f t="shared" si="18"/>
        <v>364.56</v>
      </c>
      <c r="I138" s="24">
        <f t="shared" si="19"/>
        <v>5</v>
      </c>
      <c r="J138" s="2">
        <f t="shared" si="20"/>
        <v>438</v>
      </c>
      <c r="K138" t="s">
        <v>18</v>
      </c>
      <c r="L138" s="6">
        <f t="shared" si="21"/>
        <v>72.912000000000006</v>
      </c>
      <c r="M138" s="24">
        <f>SUM(H$2:H138)</f>
        <v>23492.862499999999</v>
      </c>
      <c r="N138" s="24">
        <v>0</v>
      </c>
      <c r="P138" s="24">
        <v>0</v>
      </c>
      <c r="Q138" s="24">
        <v>0</v>
      </c>
      <c r="R138" t="s">
        <v>80</v>
      </c>
      <c r="S138" s="6">
        <f>VLOOKUP(Table1[[#This Row],[Route]],'Dropdown Lists'!$M$2:$N$7,2,FALSE)</f>
        <v>11.4</v>
      </c>
      <c r="T138" s="6"/>
      <c r="U138" s="51"/>
    </row>
    <row r="139" spans="1:21" x14ac:dyDescent="0.45">
      <c r="A139">
        <f t="shared" si="16"/>
        <v>29</v>
      </c>
      <c r="D139" s="10">
        <v>45490</v>
      </c>
      <c r="E139" s="1" t="str">
        <f t="shared" si="17"/>
        <v>Wednesday</v>
      </c>
      <c r="F139" t="s">
        <v>16</v>
      </c>
      <c r="G139" s="6">
        <f>83.58+179.58+186.5</f>
        <v>449.66</v>
      </c>
      <c r="H139" s="47">
        <f t="shared" si="18"/>
        <v>441.66</v>
      </c>
      <c r="I139" s="24">
        <f t="shared" si="19"/>
        <v>12</v>
      </c>
      <c r="J139" s="2">
        <f t="shared" si="20"/>
        <v>450</v>
      </c>
      <c r="K139" t="s">
        <v>18</v>
      </c>
      <c r="L139" s="6">
        <f t="shared" si="21"/>
        <v>36.805</v>
      </c>
      <c r="M139" s="24">
        <f>SUM(H$2:H139)</f>
        <v>23934.522499999999</v>
      </c>
      <c r="N139" s="24">
        <v>0</v>
      </c>
      <c r="P139" s="24">
        <v>0</v>
      </c>
      <c r="Q139" s="24">
        <v>0</v>
      </c>
      <c r="R139" t="s">
        <v>80</v>
      </c>
      <c r="S139" s="6">
        <f>VLOOKUP(Table1[[#This Row],[Route]],'Dropdown Lists'!$M$2:$N$7,2,FALSE)</f>
        <v>11.4</v>
      </c>
      <c r="T139" s="6"/>
      <c r="U139" s="51"/>
    </row>
    <row r="140" spans="1:21" x14ac:dyDescent="0.45">
      <c r="A140">
        <f t="shared" si="16"/>
        <v>30</v>
      </c>
      <c r="D140" s="10">
        <v>45495</v>
      </c>
      <c r="E140" s="1" t="str">
        <f t="shared" si="17"/>
        <v>Monday</v>
      </c>
      <c r="F140" t="s">
        <v>16</v>
      </c>
      <c r="G140" s="6">
        <v>108.6</v>
      </c>
      <c r="H140" s="47">
        <f t="shared" si="18"/>
        <v>100.6</v>
      </c>
      <c r="I140" s="24">
        <f t="shared" si="19"/>
        <v>5</v>
      </c>
      <c r="J140" s="2">
        <f t="shared" si="20"/>
        <v>455</v>
      </c>
      <c r="K140" t="s">
        <v>18</v>
      </c>
      <c r="L140" s="6">
        <f t="shared" si="21"/>
        <v>20.119999999999997</v>
      </c>
      <c r="M140" s="24">
        <f>SUM(H$2:H140)</f>
        <v>24035.122499999998</v>
      </c>
      <c r="N140" s="24">
        <v>0</v>
      </c>
      <c r="P140" s="24">
        <v>0</v>
      </c>
      <c r="Q140" s="24">
        <v>0</v>
      </c>
      <c r="R140" t="s">
        <v>80</v>
      </c>
      <c r="S140" s="6">
        <f>VLOOKUP(Table1[[#This Row],[Route]],'Dropdown Lists'!$M$2:$N$7,2,FALSE)</f>
        <v>11.4</v>
      </c>
      <c r="T140" s="6"/>
      <c r="U140" s="51"/>
    </row>
    <row r="141" spans="1:21" x14ac:dyDescent="0.45">
      <c r="A141">
        <f t="shared" si="16"/>
        <v>30</v>
      </c>
      <c r="D141" s="10">
        <v>45499</v>
      </c>
      <c r="E141" s="1" t="str">
        <f t="shared" si="17"/>
        <v>Friday</v>
      </c>
      <c r="F141" t="s">
        <v>16</v>
      </c>
      <c r="G141" s="2">
        <f>138.9+161+84</f>
        <v>383.9</v>
      </c>
      <c r="H141" s="47">
        <f t="shared" si="18"/>
        <v>375.9</v>
      </c>
      <c r="I141" s="24">
        <f t="shared" si="19"/>
        <v>4</v>
      </c>
      <c r="J141" s="2">
        <f t="shared" si="20"/>
        <v>459</v>
      </c>
      <c r="K141" t="s">
        <v>18</v>
      </c>
      <c r="L141" s="6">
        <f t="shared" si="21"/>
        <v>93.974999999999994</v>
      </c>
      <c r="M141" s="24">
        <f>SUM(H$2:H141)</f>
        <v>24411.022499999999</v>
      </c>
      <c r="N141" s="24">
        <v>0</v>
      </c>
      <c r="P141" s="24">
        <v>0</v>
      </c>
      <c r="Q141" s="24">
        <v>0</v>
      </c>
      <c r="R141" t="s">
        <v>80</v>
      </c>
      <c r="S141" s="6">
        <f>VLOOKUP(Table1[[#This Row],[Route]],'Dropdown Lists'!$M$2:$N$7,2,FALSE)</f>
        <v>11.4</v>
      </c>
      <c r="T141" s="6"/>
      <c r="U141" s="51"/>
    </row>
    <row r="142" spans="1:21" x14ac:dyDescent="0.45">
      <c r="A142">
        <f t="shared" si="16"/>
        <v>31</v>
      </c>
      <c r="D142" s="10">
        <v>45503</v>
      </c>
      <c r="E142" s="1" t="str">
        <f t="shared" si="17"/>
        <v>Tuesday</v>
      </c>
      <c r="F142" t="s">
        <v>16</v>
      </c>
      <c r="G142" s="2">
        <v>185.7</v>
      </c>
      <c r="H142" s="47">
        <f t="shared" si="18"/>
        <v>177.7</v>
      </c>
      <c r="I142" s="24">
        <f t="shared" si="19"/>
        <v>4</v>
      </c>
      <c r="J142" s="2">
        <f t="shared" si="20"/>
        <v>463</v>
      </c>
      <c r="K142" t="s">
        <v>18</v>
      </c>
      <c r="L142" s="6">
        <f t="shared" si="21"/>
        <v>44.424999999999997</v>
      </c>
      <c r="M142" s="24">
        <f>SUM(H$2:H142)</f>
        <v>24588.7225</v>
      </c>
      <c r="N142" s="24">
        <v>0</v>
      </c>
      <c r="P142" s="24">
        <v>0</v>
      </c>
      <c r="Q142" s="24">
        <v>0</v>
      </c>
      <c r="R142" t="s">
        <v>80</v>
      </c>
      <c r="S142" s="6">
        <f>VLOOKUP(Table1[[#This Row],[Route]],'Dropdown Lists'!$M$2:$N$7,2,FALSE)</f>
        <v>11.4</v>
      </c>
      <c r="T142" s="6"/>
      <c r="U142" s="51"/>
    </row>
    <row r="143" spans="1:21" x14ac:dyDescent="0.45">
      <c r="A143">
        <f t="shared" si="16"/>
        <v>31</v>
      </c>
      <c r="D143" s="10">
        <v>45506</v>
      </c>
      <c r="E143" s="1" t="str">
        <f t="shared" si="17"/>
        <v>Friday</v>
      </c>
      <c r="F143" t="s">
        <v>16</v>
      </c>
      <c r="G143" s="2">
        <f>169.98+177.64</f>
        <v>347.62</v>
      </c>
      <c r="H143" s="47">
        <f t="shared" si="18"/>
        <v>339.62</v>
      </c>
      <c r="I143" s="24">
        <f t="shared" si="19"/>
        <v>3</v>
      </c>
      <c r="J143" s="2">
        <f t="shared" si="20"/>
        <v>466</v>
      </c>
      <c r="K143" t="s">
        <v>18</v>
      </c>
      <c r="L143" s="6">
        <f t="shared" si="21"/>
        <v>113.20666666666666</v>
      </c>
      <c r="M143" s="24">
        <f>SUM(H$2:H143)</f>
        <v>24928.342499999999</v>
      </c>
      <c r="N143" s="24">
        <v>0</v>
      </c>
      <c r="P143" s="24">
        <v>0</v>
      </c>
      <c r="Q143" s="24">
        <v>0</v>
      </c>
      <c r="R143" t="s">
        <v>80</v>
      </c>
      <c r="S143" s="6">
        <f>VLOOKUP(Table1[[#This Row],[Route]],'Dropdown Lists'!$M$2:$N$7,2,FALSE)</f>
        <v>11.4</v>
      </c>
      <c r="T143" s="6"/>
      <c r="U143" s="51"/>
    </row>
    <row r="144" spans="1:21" x14ac:dyDescent="0.45">
      <c r="A144">
        <f t="shared" si="16"/>
        <v>32</v>
      </c>
      <c r="D144" s="10">
        <v>45512</v>
      </c>
      <c r="E144" s="1" t="str">
        <f t="shared" si="17"/>
        <v>Thursday</v>
      </c>
      <c r="F144" t="s">
        <v>16</v>
      </c>
      <c r="G144" s="2">
        <f>174.58+165.72</f>
        <v>340.3</v>
      </c>
      <c r="H144" s="47">
        <f t="shared" si="18"/>
        <v>332.3</v>
      </c>
      <c r="I144" s="24">
        <f t="shared" si="19"/>
        <v>6</v>
      </c>
      <c r="J144" s="2">
        <f t="shared" si="20"/>
        <v>472</v>
      </c>
      <c r="K144" t="s">
        <v>18</v>
      </c>
      <c r="L144" s="6">
        <f t="shared" si="21"/>
        <v>55.383333333333333</v>
      </c>
      <c r="M144" s="24">
        <f>SUM(H$2:H144)</f>
        <v>25260.642499999998</v>
      </c>
      <c r="N144" s="24">
        <f>Table1[[#This Row],[SCG mass lbs]]</f>
        <v>340.3</v>
      </c>
      <c r="O144" s="56">
        <f>Table1[[#This Row],[Date]]</f>
        <v>45512</v>
      </c>
      <c r="P144" s="24">
        <v>0</v>
      </c>
      <c r="Q144" s="24">
        <v>0</v>
      </c>
      <c r="R144" t="s">
        <v>80</v>
      </c>
      <c r="S144" s="6">
        <f>VLOOKUP(Table1[[#This Row],[Route]],'Dropdown Lists'!$M$2:$N$7,2,FALSE)</f>
        <v>11.4</v>
      </c>
      <c r="T144" s="6"/>
      <c r="U144" s="51"/>
    </row>
    <row r="145" spans="1:21" x14ac:dyDescent="0.45">
      <c r="A145">
        <f t="shared" si="16"/>
        <v>33</v>
      </c>
      <c r="D145" s="10">
        <v>45517</v>
      </c>
      <c r="E145" s="1" t="str">
        <f t="shared" si="17"/>
        <v>Tuesday</v>
      </c>
      <c r="F145" t="s">
        <v>16</v>
      </c>
      <c r="G145" s="2">
        <v>189.44</v>
      </c>
      <c r="H145" s="47">
        <f t="shared" si="18"/>
        <v>181.44</v>
      </c>
      <c r="I145" s="24">
        <f t="shared" si="19"/>
        <v>5</v>
      </c>
      <c r="J145" s="2">
        <f t="shared" si="20"/>
        <v>477</v>
      </c>
      <c r="K145" t="s">
        <v>18</v>
      </c>
      <c r="L145" s="6">
        <f t="shared" si="21"/>
        <v>36.287999999999997</v>
      </c>
      <c r="M145" s="24">
        <f>SUM(H$2:H145)</f>
        <v>25442.082499999997</v>
      </c>
      <c r="N145" s="24">
        <v>0</v>
      </c>
      <c r="P145" s="24">
        <v>0</v>
      </c>
      <c r="Q145" s="24">
        <v>0</v>
      </c>
      <c r="R145" t="s">
        <v>81</v>
      </c>
      <c r="S145" s="6">
        <f>VLOOKUP(Table1[[#This Row],[Route]],'Dropdown Lists'!$M$2:$N$7,2,FALSE)</f>
        <v>13.5</v>
      </c>
      <c r="T145" s="6"/>
      <c r="U145" s="51"/>
    </row>
    <row r="146" spans="1:21" x14ac:dyDescent="0.45">
      <c r="A146">
        <f t="shared" si="16"/>
        <v>34</v>
      </c>
      <c r="D146" s="10">
        <v>45523</v>
      </c>
      <c r="E146" s="1" t="str">
        <f t="shared" si="17"/>
        <v>Monday</v>
      </c>
      <c r="F146" t="s">
        <v>16</v>
      </c>
      <c r="G146" s="2">
        <f>162+175+170</f>
        <v>507</v>
      </c>
      <c r="H146" s="47">
        <f t="shared" si="18"/>
        <v>499</v>
      </c>
      <c r="I146" s="24">
        <f t="shared" si="19"/>
        <v>6</v>
      </c>
      <c r="J146" s="2">
        <f t="shared" si="20"/>
        <v>483</v>
      </c>
      <c r="K146" t="s">
        <v>18</v>
      </c>
      <c r="L146" s="6">
        <f t="shared" si="21"/>
        <v>83.166666666666671</v>
      </c>
      <c r="M146" s="24">
        <f>SUM(H$2:H146)</f>
        <v>25941.082499999997</v>
      </c>
      <c r="N146" s="24">
        <v>0</v>
      </c>
      <c r="P146" s="24">
        <v>0</v>
      </c>
      <c r="Q146" s="24">
        <v>0</v>
      </c>
      <c r="R146" t="s">
        <v>81</v>
      </c>
      <c r="S146" s="6">
        <f>VLOOKUP(Table1[[#This Row],[Route]],'Dropdown Lists'!$M$2:$N$7,2,FALSE)</f>
        <v>13.5</v>
      </c>
      <c r="T146" s="6"/>
      <c r="U146" s="51"/>
    </row>
    <row r="147" spans="1:21" x14ac:dyDescent="0.45">
      <c r="A147">
        <f t="shared" si="16"/>
        <v>35</v>
      </c>
      <c r="D147" s="10">
        <v>45530</v>
      </c>
      <c r="E147" s="1" t="str">
        <f t="shared" si="17"/>
        <v>Monday</v>
      </c>
      <c r="F147" t="s">
        <v>16</v>
      </c>
      <c r="G147" s="2">
        <v>172</v>
      </c>
      <c r="H147" s="47">
        <f t="shared" si="18"/>
        <v>164</v>
      </c>
      <c r="I147" s="24">
        <f t="shared" si="19"/>
        <v>7</v>
      </c>
      <c r="J147" s="2">
        <f t="shared" si="20"/>
        <v>490</v>
      </c>
      <c r="K147" t="s">
        <v>18</v>
      </c>
      <c r="L147" s="6">
        <f t="shared" si="21"/>
        <v>23.428571428571427</v>
      </c>
      <c r="M147" s="24">
        <f>SUM(H$2:H147)</f>
        <v>26105.082499999997</v>
      </c>
      <c r="N147" s="24">
        <v>0</v>
      </c>
      <c r="P147" s="24">
        <v>0</v>
      </c>
      <c r="Q147" s="24">
        <v>0</v>
      </c>
      <c r="R147" t="s">
        <v>81</v>
      </c>
      <c r="S147" s="6">
        <f>VLOOKUP(Table1[[#This Row],[Route]],'Dropdown Lists'!$M$2:$N$7,2,FALSE)</f>
        <v>13.5</v>
      </c>
      <c r="T147" s="6"/>
      <c r="U147" s="51"/>
    </row>
    <row r="148" spans="1:21" x14ac:dyDescent="0.45">
      <c r="A148">
        <f t="shared" si="16"/>
        <v>35</v>
      </c>
      <c r="D148" s="10">
        <v>45531</v>
      </c>
      <c r="E148" s="1" t="str">
        <f t="shared" si="17"/>
        <v>Tuesday</v>
      </c>
      <c r="F148" t="s">
        <v>16</v>
      </c>
      <c r="G148" s="2">
        <v>153.9</v>
      </c>
      <c r="H148" s="47">
        <f t="shared" si="18"/>
        <v>145.9</v>
      </c>
      <c r="I148" s="24">
        <f t="shared" si="19"/>
        <v>1</v>
      </c>
      <c r="J148" s="2">
        <f t="shared" si="20"/>
        <v>491</v>
      </c>
      <c r="K148" t="s">
        <v>18</v>
      </c>
      <c r="L148" s="6">
        <f t="shared" si="21"/>
        <v>145.9</v>
      </c>
      <c r="M148" s="24">
        <f>SUM(H$2:H148)</f>
        <v>26250.982499999998</v>
      </c>
      <c r="N148" s="24">
        <v>0</v>
      </c>
      <c r="P148" s="24">
        <v>0</v>
      </c>
      <c r="Q148" s="24">
        <v>0</v>
      </c>
      <c r="R148" t="s">
        <v>81</v>
      </c>
      <c r="S148" s="6">
        <f>VLOOKUP(Table1[[#This Row],[Route]],'Dropdown Lists'!$M$2:$N$7,2,FALSE)</f>
        <v>13.5</v>
      </c>
      <c r="T148" s="6"/>
      <c r="U148" s="51"/>
    </row>
    <row r="149" spans="1:21" x14ac:dyDescent="0.45">
      <c r="A149">
        <f t="shared" si="16"/>
        <v>35</v>
      </c>
      <c r="D149" s="10">
        <v>45534</v>
      </c>
      <c r="E149" s="1" t="str">
        <f t="shared" si="17"/>
        <v>Friday</v>
      </c>
      <c r="F149" t="s">
        <v>16</v>
      </c>
      <c r="G149" s="2">
        <v>171.78</v>
      </c>
      <c r="H149" s="47">
        <f t="shared" si="18"/>
        <v>163.78</v>
      </c>
      <c r="I149" s="24">
        <f t="shared" si="19"/>
        <v>3</v>
      </c>
      <c r="J149" s="2">
        <f t="shared" si="20"/>
        <v>494</v>
      </c>
      <c r="K149" t="s">
        <v>18</v>
      </c>
      <c r="L149" s="6">
        <f t="shared" si="21"/>
        <v>54.593333333333334</v>
      </c>
      <c r="M149" s="24">
        <f>SUM(H$2:H149)</f>
        <v>26414.762499999997</v>
      </c>
      <c r="N149" s="24">
        <f>Table1[[#This Row],[Net lbs]]</f>
        <v>163.78</v>
      </c>
      <c r="O149" s="56">
        <f>Table1[[#This Row],[Date]]</f>
        <v>45534</v>
      </c>
      <c r="P149" s="24">
        <v>0</v>
      </c>
      <c r="Q149" s="24">
        <v>0</v>
      </c>
      <c r="R149" t="s">
        <v>81</v>
      </c>
      <c r="S149" s="6">
        <f>VLOOKUP(Table1[[#This Row],[Route]],'Dropdown Lists'!$M$2:$N$7,2,FALSE)</f>
        <v>13.5</v>
      </c>
      <c r="T149" s="6"/>
      <c r="U149" s="51"/>
    </row>
    <row r="150" spans="1:21" x14ac:dyDescent="0.45">
      <c r="A150">
        <f t="shared" si="16"/>
        <v>36</v>
      </c>
      <c r="D150" s="10">
        <v>45537</v>
      </c>
      <c r="E150" s="1" t="str">
        <f t="shared" si="17"/>
        <v>Monday</v>
      </c>
      <c r="F150" t="s">
        <v>16</v>
      </c>
      <c r="G150" s="2">
        <f>168.3+100.32</f>
        <v>268.62</v>
      </c>
      <c r="H150" s="47">
        <f t="shared" si="18"/>
        <v>260.62</v>
      </c>
      <c r="I150" s="24">
        <f t="shared" si="19"/>
        <v>3</v>
      </c>
      <c r="J150" s="2">
        <f t="shared" si="20"/>
        <v>497</v>
      </c>
      <c r="K150" t="s">
        <v>18</v>
      </c>
      <c r="L150" s="6">
        <f t="shared" si="21"/>
        <v>86.873333333333335</v>
      </c>
      <c r="M150" s="24">
        <f>SUM(H$2:H150)</f>
        <v>26675.382499999996</v>
      </c>
      <c r="N150" s="24">
        <v>0</v>
      </c>
      <c r="P150" s="24">
        <v>0</v>
      </c>
      <c r="Q150" s="24">
        <v>0</v>
      </c>
      <c r="R150" t="s">
        <v>81</v>
      </c>
      <c r="S150" s="6">
        <f>VLOOKUP(Table1[[#This Row],[Route]],'Dropdown Lists'!$M$2:$N$7,2,FALSE)</f>
        <v>13.5</v>
      </c>
      <c r="T150" s="6"/>
      <c r="U150" s="51"/>
    </row>
    <row r="151" spans="1:21" x14ac:dyDescent="0.45">
      <c r="A151">
        <f t="shared" si="16"/>
        <v>36</v>
      </c>
      <c r="D151" s="10">
        <v>45539</v>
      </c>
      <c r="E151" s="1" t="str">
        <f t="shared" si="17"/>
        <v>Wednesday</v>
      </c>
      <c r="F151" t="s">
        <v>16</v>
      </c>
      <c r="G151" s="2">
        <v>165.36</v>
      </c>
      <c r="H151" s="47">
        <f t="shared" si="18"/>
        <v>157.36000000000001</v>
      </c>
      <c r="I151" s="24">
        <f t="shared" si="19"/>
        <v>2</v>
      </c>
      <c r="J151" s="2">
        <f t="shared" si="20"/>
        <v>499</v>
      </c>
      <c r="K151" t="s">
        <v>18</v>
      </c>
      <c r="L151" s="6">
        <f t="shared" si="21"/>
        <v>78.680000000000007</v>
      </c>
      <c r="M151" s="24">
        <f>SUM(H$2:H151)</f>
        <v>26832.742499999997</v>
      </c>
      <c r="N151" s="24">
        <v>0</v>
      </c>
      <c r="P151" s="24">
        <v>0</v>
      </c>
      <c r="Q151" s="24">
        <v>0</v>
      </c>
      <c r="R151" t="s">
        <v>81</v>
      </c>
      <c r="S151" s="6">
        <f>VLOOKUP(Table1[[#This Row],[Route]],'Dropdown Lists'!$M$2:$N$7,2,FALSE)</f>
        <v>13.5</v>
      </c>
      <c r="T151" s="6"/>
      <c r="U151" s="51"/>
    </row>
    <row r="152" spans="1:21" x14ac:dyDescent="0.45">
      <c r="A152">
        <f t="shared" si="16"/>
        <v>37</v>
      </c>
      <c r="D152" s="10">
        <v>45544</v>
      </c>
      <c r="E152" s="1" t="str">
        <f t="shared" si="17"/>
        <v>Monday</v>
      </c>
      <c r="F152" t="s">
        <v>16</v>
      </c>
      <c r="G152" s="2">
        <f>167.3+170.56</f>
        <v>337.86</v>
      </c>
      <c r="H152" s="47">
        <f t="shared" si="18"/>
        <v>329.86</v>
      </c>
      <c r="I152" s="24">
        <f t="shared" si="19"/>
        <v>5</v>
      </c>
      <c r="J152" s="2">
        <f t="shared" si="20"/>
        <v>504</v>
      </c>
      <c r="K152" t="s">
        <v>18</v>
      </c>
      <c r="L152" s="6">
        <f t="shared" si="21"/>
        <v>65.972000000000008</v>
      </c>
      <c r="M152" s="24">
        <f>SUM(H$2:H152)</f>
        <v>27162.602499999997</v>
      </c>
      <c r="N152" s="24">
        <f>Table1[[#This Row],[SCG mass lbs]]</f>
        <v>337.86</v>
      </c>
      <c r="O152" s="56">
        <f>Table1[[#This Row],[Date]]</f>
        <v>45544</v>
      </c>
      <c r="P152" s="24">
        <v>0</v>
      </c>
      <c r="Q152" s="24">
        <v>0</v>
      </c>
      <c r="R152" t="s">
        <v>81</v>
      </c>
      <c r="S152" s="6">
        <f>VLOOKUP(Table1[[#This Row],[Route]],'Dropdown Lists'!$M$2:$N$7,2,FALSE)</f>
        <v>13.5</v>
      </c>
      <c r="T152" s="6"/>
      <c r="U152" s="51" t="s">
        <v>96</v>
      </c>
    </row>
    <row r="153" spans="1:21" x14ac:dyDescent="0.45">
      <c r="A153">
        <f t="shared" si="16"/>
        <v>46</v>
      </c>
      <c r="D153" s="10">
        <v>45608</v>
      </c>
      <c r="E153" s="1" t="str">
        <f t="shared" si="17"/>
        <v>Tuesday</v>
      </c>
      <c r="F153" t="s">
        <v>16</v>
      </c>
      <c r="G153" s="2">
        <f>186.82+198.36+140.82</f>
        <v>526</v>
      </c>
      <c r="H153" s="47">
        <f t="shared" si="18"/>
        <v>518</v>
      </c>
      <c r="I153" s="24">
        <f t="shared" si="19"/>
        <v>64</v>
      </c>
      <c r="J153" s="2">
        <f t="shared" si="20"/>
        <v>568</v>
      </c>
      <c r="K153" t="s">
        <v>18</v>
      </c>
      <c r="L153" s="6">
        <f t="shared" si="21"/>
        <v>8.09375</v>
      </c>
      <c r="M153" s="24">
        <f>SUM(H$2:H153)</f>
        <v>27680.602499999997</v>
      </c>
      <c r="N153" s="24">
        <v>0</v>
      </c>
      <c r="P153" s="24">
        <v>0</v>
      </c>
      <c r="Q153" s="24">
        <v>0</v>
      </c>
      <c r="R153" t="s">
        <v>81</v>
      </c>
      <c r="S153" s="6">
        <f>VLOOKUP(Table1[[#This Row],[Route]],'Dropdown Lists'!$M$2:$N$7,2,FALSE)</f>
        <v>13.5</v>
      </c>
      <c r="T153" s="6"/>
      <c r="U153" s="51" t="s">
        <v>97</v>
      </c>
    </row>
    <row r="154" spans="1:21" x14ac:dyDescent="0.45">
      <c r="A154">
        <f t="shared" si="16"/>
        <v>46</v>
      </c>
      <c r="D154" s="10">
        <v>45611</v>
      </c>
      <c r="E154" s="1" t="str">
        <f t="shared" si="17"/>
        <v>Friday</v>
      </c>
      <c r="F154" t="s">
        <v>16</v>
      </c>
      <c r="G154" s="2">
        <f>52.02+193.86</f>
        <v>245.88000000000002</v>
      </c>
      <c r="H154" s="47">
        <f t="shared" si="18"/>
        <v>237.88000000000002</v>
      </c>
      <c r="I154" s="24">
        <f t="shared" si="19"/>
        <v>3</v>
      </c>
      <c r="J154" s="2">
        <f t="shared" si="20"/>
        <v>571</v>
      </c>
      <c r="K154" t="s">
        <v>18</v>
      </c>
      <c r="L154" s="6">
        <f t="shared" si="21"/>
        <v>79.293333333333337</v>
      </c>
      <c r="M154" s="24">
        <f>SUM(H$2:H154)</f>
        <v>27918.482499999998</v>
      </c>
      <c r="N154" s="24">
        <v>0</v>
      </c>
      <c r="P154" s="24">
        <v>0</v>
      </c>
      <c r="Q154" s="24">
        <v>0</v>
      </c>
      <c r="R154" t="s">
        <v>81</v>
      </c>
      <c r="S154" s="6">
        <f>VLOOKUP(Table1[[#This Row],[Route]],'Dropdown Lists'!$M$2:$N$7,2,FALSE)</f>
        <v>13.5</v>
      </c>
      <c r="T154" s="6"/>
      <c r="U154" s="51"/>
    </row>
    <row r="155" spans="1:21" x14ac:dyDescent="0.45">
      <c r="A155">
        <f t="shared" si="16"/>
        <v>47</v>
      </c>
      <c r="D155" s="10">
        <v>45613</v>
      </c>
      <c r="E155" s="1" t="str">
        <f t="shared" si="17"/>
        <v>Sunday</v>
      </c>
      <c r="F155" t="s">
        <v>16</v>
      </c>
      <c r="G155" s="2">
        <v>203.5</v>
      </c>
      <c r="H155" s="47">
        <f t="shared" si="18"/>
        <v>195.5</v>
      </c>
      <c r="I155" s="24">
        <f t="shared" si="19"/>
        <v>2</v>
      </c>
      <c r="J155" s="2">
        <f t="shared" si="20"/>
        <v>573</v>
      </c>
      <c r="K155" t="s">
        <v>18</v>
      </c>
      <c r="L155" s="6">
        <f t="shared" si="21"/>
        <v>97.75</v>
      </c>
      <c r="M155" s="24">
        <f>SUM(H$2:H155)</f>
        <v>28113.982499999998</v>
      </c>
      <c r="N155" s="24">
        <v>203.5</v>
      </c>
      <c r="O155" s="56">
        <f>Table1[[#This Row],[Date]]</f>
        <v>45613</v>
      </c>
      <c r="P155" s="24">
        <v>0</v>
      </c>
      <c r="Q155" s="24">
        <v>0</v>
      </c>
      <c r="R155" t="s">
        <v>80</v>
      </c>
      <c r="S155" s="6">
        <f>VLOOKUP(Table1[[#This Row],[Route]],'Dropdown Lists'!$M$2:$N$7,2,FALSE)</f>
        <v>11.4</v>
      </c>
      <c r="T155" s="6"/>
      <c r="U155" s="51"/>
    </row>
    <row r="156" spans="1:21" x14ac:dyDescent="0.45">
      <c r="A156">
        <f t="shared" si="16"/>
        <v>47</v>
      </c>
      <c r="D156" s="10">
        <v>45615</v>
      </c>
      <c r="E156" s="1" t="str">
        <f t="shared" si="17"/>
        <v>Tuesday</v>
      </c>
      <c r="F156" t="s">
        <v>16</v>
      </c>
      <c r="G156" s="2">
        <v>82.66</v>
      </c>
      <c r="H156" s="47">
        <f t="shared" si="18"/>
        <v>74.66</v>
      </c>
      <c r="I156" s="24">
        <f t="shared" si="19"/>
        <v>2</v>
      </c>
      <c r="J156" s="2">
        <f t="shared" si="20"/>
        <v>575</v>
      </c>
      <c r="K156" t="s">
        <v>18</v>
      </c>
      <c r="L156" s="6">
        <f t="shared" si="21"/>
        <v>37.33</v>
      </c>
      <c r="M156" s="24">
        <f>SUM(H$2:H156)</f>
        <v>28188.642499999998</v>
      </c>
      <c r="N156" s="24">
        <v>0</v>
      </c>
      <c r="P156" s="24">
        <v>0</v>
      </c>
      <c r="Q156" s="24">
        <v>0</v>
      </c>
      <c r="R156" t="s">
        <v>81</v>
      </c>
      <c r="S156" s="6">
        <f>VLOOKUP(Table1[[#This Row],[Route]],'Dropdown Lists'!$M$2:$N$7,2,FALSE)</f>
        <v>13.5</v>
      </c>
      <c r="T156" s="6"/>
      <c r="U156" s="51"/>
    </row>
    <row r="157" spans="1:21" x14ac:dyDescent="0.45">
      <c r="A157">
        <f t="shared" si="16"/>
        <v>47</v>
      </c>
      <c r="D157" s="10">
        <v>45618</v>
      </c>
      <c r="E157" s="1" t="str">
        <f t="shared" si="17"/>
        <v>Friday</v>
      </c>
      <c r="F157" t="s">
        <v>16</v>
      </c>
      <c r="G157" s="2">
        <v>179</v>
      </c>
      <c r="H157" s="47">
        <f t="shared" si="18"/>
        <v>171</v>
      </c>
      <c r="I157" s="24">
        <f t="shared" si="19"/>
        <v>3</v>
      </c>
      <c r="J157" s="2">
        <f t="shared" si="20"/>
        <v>578</v>
      </c>
      <c r="K157" t="s">
        <v>18</v>
      </c>
      <c r="L157" s="6">
        <f t="shared" si="21"/>
        <v>57</v>
      </c>
      <c r="M157" s="24">
        <f>SUM(H$2:H157)</f>
        <v>28359.642499999998</v>
      </c>
      <c r="N157" s="24">
        <v>0</v>
      </c>
      <c r="P157" s="24">
        <v>0</v>
      </c>
      <c r="Q157" s="24">
        <v>0</v>
      </c>
      <c r="R157" t="s">
        <v>80</v>
      </c>
      <c r="S157" s="6">
        <f>VLOOKUP(Table1[[#This Row],[Route]],'Dropdown Lists'!$M$2:$N$7,2,FALSE)</f>
        <v>11.4</v>
      </c>
      <c r="T157" s="6"/>
      <c r="U157" s="51"/>
    </row>
    <row r="158" spans="1:21" x14ac:dyDescent="0.45">
      <c r="A158">
        <f t="shared" si="16"/>
        <v>48</v>
      </c>
      <c r="D158" s="10">
        <v>45623</v>
      </c>
      <c r="E158" s="1" t="str">
        <f t="shared" si="17"/>
        <v>Wednesday</v>
      </c>
      <c r="F158" t="s">
        <v>16</v>
      </c>
      <c r="G158" s="2">
        <v>189</v>
      </c>
      <c r="H158" s="47">
        <f t="shared" si="18"/>
        <v>181</v>
      </c>
      <c r="I158" s="24">
        <f t="shared" si="19"/>
        <v>5</v>
      </c>
      <c r="J158" s="2">
        <f t="shared" si="20"/>
        <v>583</v>
      </c>
      <c r="K158" t="s">
        <v>18</v>
      </c>
      <c r="L158" s="6">
        <f t="shared" si="21"/>
        <v>36.200000000000003</v>
      </c>
      <c r="M158" s="24">
        <f>SUM(H$2:H158)</f>
        <v>28540.642499999998</v>
      </c>
      <c r="N158" s="24">
        <v>0</v>
      </c>
      <c r="P158" s="24">
        <v>0</v>
      </c>
      <c r="Q158" s="24">
        <v>0</v>
      </c>
      <c r="R158" t="s">
        <v>80</v>
      </c>
      <c r="S158" s="6">
        <f>VLOOKUP(Table1[[#This Row],[Route]],'Dropdown Lists'!$M$2:$N$7,2,FALSE)</f>
        <v>11.4</v>
      </c>
      <c r="T158" s="6"/>
      <c r="U158" s="51"/>
    </row>
    <row r="159" spans="1:21" x14ac:dyDescent="0.45">
      <c r="A159">
        <f t="shared" si="16"/>
        <v>48</v>
      </c>
      <c r="D159" s="10">
        <v>45626</v>
      </c>
      <c r="E159" s="1" t="str">
        <f t="shared" si="17"/>
        <v>Saturday</v>
      </c>
      <c r="F159" t="s">
        <v>16</v>
      </c>
      <c r="G159" s="2">
        <v>199</v>
      </c>
      <c r="H159" s="47">
        <f t="shared" si="18"/>
        <v>191</v>
      </c>
      <c r="I159" s="24">
        <f t="shared" si="19"/>
        <v>3</v>
      </c>
      <c r="J159" s="2">
        <f t="shared" si="20"/>
        <v>586</v>
      </c>
      <c r="K159" t="s">
        <v>18</v>
      </c>
      <c r="L159" s="6">
        <f t="shared" si="21"/>
        <v>63.666666666666664</v>
      </c>
      <c r="M159" s="24">
        <f>SUM(H$2:H159)</f>
        <v>28731.642499999998</v>
      </c>
      <c r="N159" s="24">
        <v>0</v>
      </c>
      <c r="P159" s="24">
        <v>0</v>
      </c>
      <c r="Q159" s="24">
        <v>0</v>
      </c>
      <c r="R159" t="s">
        <v>80</v>
      </c>
      <c r="S159" s="6">
        <f>VLOOKUP(Table1[[#This Row],[Route]],'Dropdown Lists'!$M$2:$N$7,2,FALSE)</f>
        <v>11.4</v>
      </c>
      <c r="T159" s="6"/>
      <c r="U159" s="51"/>
    </row>
    <row r="160" spans="1:21" x14ac:dyDescent="0.45">
      <c r="A160">
        <f t="shared" si="16"/>
        <v>49</v>
      </c>
      <c r="D160" s="10">
        <v>45631</v>
      </c>
      <c r="E160" s="1" t="str">
        <f t="shared" si="17"/>
        <v>Thursday</v>
      </c>
      <c r="F160" t="s">
        <v>16</v>
      </c>
      <c r="G160" s="2">
        <v>200</v>
      </c>
      <c r="H160" s="47">
        <f t="shared" si="18"/>
        <v>192</v>
      </c>
      <c r="I160" s="24">
        <f t="shared" si="19"/>
        <v>5</v>
      </c>
      <c r="J160" s="2">
        <f t="shared" si="20"/>
        <v>591</v>
      </c>
      <c r="K160" t="s">
        <v>18</v>
      </c>
      <c r="L160" s="6">
        <f t="shared" si="21"/>
        <v>38.4</v>
      </c>
      <c r="M160" s="24">
        <f>SUM(H$2:H160)</f>
        <v>28923.642499999998</v>
      </c>
      <c r="N160" s="24">
        <v>0</v>
      </c>
      <c r="P160" s="24">
        <v>0</v>
      </c>
      <c r="Q160" s="24">
        <v>0</v>
      </c>
      <c r="R160" t="s">
        <v>80</v>
      </c>
      <c r="S160" s="6">
        <f>VLOOKUP(Table1[[#This Row],[Route]],'Dropdown Lists'!$M$2:$N$7,2,FALSE)</f>
        <v>11.4</v>
      </c>
      <c r="T160" s="6"/>
      <c r="U160" s="51"/>
    </row>
    <row r="161" spans="1:21" x14ac:dyDescent="0.45">
      <c r="A161">
        <f t="shared" si="16"/>
        <v>50</v>
      </c>
      <c r="D161" s="10">
        <v>45634</v>
      </c>
      <c r="E161" s="1" t="str">
        <f t="shared" si="17"/>
        <v>Sunday</v>
      </c>
      <c r="F161" t="s">
        <v>16</v>
      </c>
      <c r="G161" s="2">
        <v>175</v>
      </c>
      <c r="H161" s="47">
        <f t="shared" si="18"/>
        <v>167</v>
      </c>
      <c r="I161" s="24">
        <f t="shared" si="19"/>
        <v>3</v>
      </c>
      <c r="J161" s="2">
        <f t="shared" si="20"/>
        <v>594</v>
      </c>
      <c r="K161" t="s">
        <v>18</v>
      </c>
      <c r="L161" s="6">
        <f t="shared" si="21"/>
        <v>55.666666666666664</v>
      </c>
      <c r="M161" s="24">
        <f>SUM(H$2:H161)</f>
        <v>29090.642499999998</v>
      </c>
      <c r="N161" s="24">
        <v>0</v>
      </c>
      <c r="P161" s="24">
        <v>0</v>
      </c>
      <c r="Q161" s="24">
        <v>0</v>
      </c>
      <c r="R161" t="s">
        <v>80</v>
      </c>
      <c r="S161" s="6">
        <f>VLOOKUP(Table1[[#This Row],[Route]],'Dropdown Lists'!$M$2:$N$7,2,FALSE)</f>
        <v>11.4</v>
      </c>
      <c r="T161" s="6"/>
      <c r="U161" s="51"/>
    </row>
    <row r="162" spans="1:21" x14ac:dyDescent="0.45">
      <c r="A162">
        <f t="shared" si="16"/>
        <v>50</v>
      </c>
      <c r="D162" s="10">
        <v>45637</v>
      </c>
      <c r="E162" s="1" t="str">
        <f t="shared" si="17"/>
        <v>Wednesday</v>
      </c>
      <c r="F162" t="s">
        <v>16</v>
      </c>
      <c r="G162" s="2">
        <f>66.98+167.36</f>
        <v>234.34000000000003</v>
      </c>
      <c r="H162" s="47">
        <f t="shared" si="18"/>
        <v>226.34000000000003</v>
      </c>
      <c r="I162" s="24">
        <f t="shared" si="19"/>
        <v>3</v>
      </c>
      <c r="J162" s="2">
        <f t="shared" si="20"/>
        <v>597</v>
      </c>
      <c r="K162" t="s">
        <v>18</v>
      </c>
      <c r="L162" s="6">
        <f t="shared" si="21"/>
        <v>75.446666666666673</v>
      </c>
      <c r="M162" s="24">
        <f>SUM(H$2:H162)</f>
        <v>29316.982499999998</v>
      </c>
      <c r="N162" s="24">
        <v>0</v>
      </c>
      <c r="P162" s="24">
        <v>0</v>
      </c>
      <c r="Q162" s="24">
        <v>0</v>
      </c>
      <c r="R162" t="s">
        <v>81</v>
      </c>
      <c r="S162" s="6">
        <f>VLOOKUP(Table1[[#This Row],[Route]],'Dropdown Lists'!$M$2:$N$7,2,FALSE)</f>
        <v>13.5</v>
      </c>
      <c r="T162" s="6"/>
      <c r="U162" s="51"/>
    </row>
    <row r="163" spans="1:21" x14ac:dyDescent="0.45">
      <c r="A163">
        <f t="shared" si="16"/>
        <v>51</v>
      </c>
      <c r="D163" s="10">
        <v>45642</v>
      </c>
      <c r="E163" s="1" t="str">
        <f t="shared" si="17"/>
        <v>Monday</v>
      </c>
      <c r="F163" t="s">
        <v>16</v>
      </c>
      <c r="G163" s="2">
        <f>185.24+167.08</f>
        <v>352.32000000000005</v>
      </c>
      <c r="H163" s="47">
        <f t="shared" si="18"/>
        <v>344.32000000000005</v>
      </c>
      <c r="I163" s="24">
        <f t="shared" ref="I163:I174" si="22">IF(D163-D162&lt;0, 0, D163-D162)</f>
        <v>5</v>
      </c>
      <c r="J163" s="2">
        <f t="shared" si="20"/>
        <v>602</v>
      </c>
      <c r="K163" t="s">
        <v>5</v>
      </c>
      <c r="L163" s="6">
        <f t="shared" si="21"/>
        <v>68.864000000000004</v>
      </c>
      <c r="M163" s="24">
        <f>SUM(H$2:H163)</f>
        <v>29661.302499999998</v>
      </c>
      <c r="N163" s="24">
        <v>0</v>
      </c>
      <c r="P163" s="24">
        <v>0</v>
      </c>
      <c r="Q163" s="24">
        <v>0</v>
      </c>
      <c r="R163" t="s">
        <v>81</v>
      </c>
      <c r="S163" s="6">
        <f>VLOOKUP(Table1[[#This Row],[Route]],'Dropdown Lists'!$M$2:$N$7,2,FALSE)</f>
        <v>13.5</v>
      </c>
      <c r="T163" s="6"/>
      <c r="U163" s="51"/>
    </row>
    <row r="164" spans="1:21" x14ac:dyDescent="0.45">
      <c r="A164">
        <f t="shared" si="16"/>
        <v>52</v>
      </c>
      <c r="D164" s="10">
        <v>45649</v>
      </c>
      <c r="E164" s="1" t="str">
        <f t="shared" si="17"/>
        <v>Monday</v>
      </c>
      <c r="F164" t="s">
        <v>16</v>
      </c>
      <c r="G164" s="2">
        <f>75+185</f>
        <v>260</v>
      </c>
      <c r="H164" s="47">
        <f t="shared" si="18"/>
        <v>252</v>
      </c>
      <c r="I164" s="24">
        <f t="shared" si="22"/>
        <v>7</v>
      </c>
      <c r="J164" s="2">
        <f t="shared" si="20"/>
        <v>609</v>
      </c>
      <c r="K164" t="s">
        <v>18</v>
      </c>
      <c r="L164" s="6">
        <f t="shared" si="21"/>
        <v>36</v>
      </c>
      <c r="M164" s="24">
        <f>SUM(H$2:H164)</f>
        <v>29913.302499999998</v>
      </c>
      <c r="N164" s="24">
        <v>0</v>
      </c>
      <c r="P164" s="24">
        <v>0</v>
      </c>
      <c r="Q164" s="24">
        <v>0</v>
      </c>
      <c r="R164" t="s">
        <v>80</v>
      </c>
      <c r="S164" s="6">
        <f>VLOOKUP(Table1[[#This Row],[Route]],'Dropdown Lists'!$M$2:$N$7,2,FALSE)</f>
        <v>11.4</v>
      </c>
      <c r="T164" s="6"/>
      <c r="U164" s="51"/>
    </row>
    <row r="165" spans="1:21" x14ac:dyDescent="0.45">
      <c r="A165">
        <f t="shared" si="16"/>
        <v>52</v>
      </c>
      <c r="D165" s="10">
        <v>45652</v>
      </c>
      <c r="E165" s="1" t="str">
        <f t="shared" si="17"/>
        <v>Thursday</v>
      </c>
      <c r="F165" t="s">
        <v>16</v>
      </c>
      <c r="G165" s="2">
        <v>100</v>
      </c>
      <c r="H165" s="47">
        <f t="shared" si="18"/>
        <v>92</v>
      </c>
      <c r="I165" s="24">
        <f t="shared" si="22"/>
        <v>3</v>
      </c>
      <c r="J165" s="2">
        <f t="shared" si="20"/>
        <v>612</v>
      </c>
      <c r="K165" t="s">
        <v>18</v>
      </c>
      <c r="L165" s="6">
        <f t="shared" si="21"/>
        <v>30.666666666666668</v>
      </c>
      <c r="M165" s="24">
        <f>SUM(H$2:H165)</f>
        <v>30005.302499999998</v>
      </c>
      <c r="N165" s="24">
        <v>0</v>
      </c>
      <c r="P165" s="24">
        <v>0</v>
      </c>
      <c r="Q165" s="24">
        <v>0</v>
      </c>
      <c r="R165" t="s">
        <v>80</v>
      </c>
      <c r="S165" s="6">
        <f>VLOOKUP(Table1[[#This Row],[Route]],'Dropdown Lists'!$M$2:$N$7,2,FALSE)</f>
        <v>11.4</v>
      </c>
      <c r="T165" s="6"/>
      <c r="U165" s="51"/>
    </row>
    <row r="166" spans="1:21" x14ac:dyDescent="0.45">
      <c r="A166">
        <f t="shared" si="16"/>
        <v>1</v>
      </c>
      <c r="D166" s="10">
        <v>45661</v>
      </c>
      <c r="E166" s="1" t="str">
        <f t="shared" si="17"/>
        <v>Saturday</v>
      </c>
      <c r="F166" t="s">
        <v>16</v>
      </c>
      <c r="G166" s="2">
        <v>103.74</v>
      </c>
      <c r="H166" s="47">
        <f t="shared" si="18"/>
        <v>95.74</v>
      </c>
      <c r="I166" s="24">
        <f t="shared" si="22"/>
        <v>9</v>
      </c>
      <c r="J166" s="2">
        <f t="shared" si="20"/>
        <v>621</v>
      </c>
      <c r="K166" t="s">
        <v>18</v>
      </c>
      <c r="L166" s="6">
        <f t="shared" si="21"/>
        <v>10.637777777777778</v>
      </c>
      <c r="M166" s="24">
        <f>SUM(H$2:H166)</f>
        <v>30101.0425</v>
      </c>
      <c r="N166" s="24">
        <v>0</v>
      </c>
      <c r="P166" s="24">
        <v>0</v>
      </c>
      <c r="Q166" s="24">
        <v>0</v>
      </c>
      <c r="R166" t="s">
        <v>80</v>
      </c>
      <c r="S166" s="6">
        <f>VLOOKUP(Table1[[#This Row],[Route]],'Dropdown Lists'!$M$2:$N$7,2,FALSE)</f>
        <v>11.4</v>
      </c>
      <c r="T166" s="6"/>
      <c r="U166" s="51"/>
    </row>
    <row r="167" spans="1:21" x14ac:dyDescent="0.45">
      <c r="A167">
        <f t="shared" si="16"/>
        <v>2</v>
      </c>
      <c r="D167" s="10">
        <v>45665</v>
      </c>
      <c r="E167" s="1" t="str">
        <f t="shared" si="17"/>
        <v>Wednesday</v>
      </c>
      <c r="F167" t="s">
        <v>16</v>
      </c>
      <c r="G167" s="2">
        <f>183.92+187.86</f>
        <v>371.78</v>
      </c>
      <c r="H167" s="47">
        <f t="shared" si="18"/>
        <v>363.78</v>
      </c>
      <c r="I167" s="24">
        <f t="shared" si="22"/>
        <v>4</v>
      </c>
      <c r="J167" s="2">
        <f t="shared" si="20"/>
        <v>625</v>
      </c>
      <c r="K167" t="s">
        <v>18</v>
      </c>
      <c r="L167" s="6">
        <f t="shared" si="21"/>
        <v>90.944999999999993</v>
      </c>
      <c r="M167" s="24">
        <f>SUM(H$2:H167)</f>
        <v>30464.822499999998</v>
      </c>
      <c r="N167" s="24">
        <v>0</v>
      </c>
      <c r="P167" s="24">
        <v>0</v>
      </c>
      <c r="Q167" s="24">
        <v>0</v>
      </c>
      <c r="R167" t="s">
        <v>81</v>
      </c>
      <c r="S167" s="6">
        <f>VLOOKUP(Table1[[#This Row],[Route]],'Dropdown Lists'!$M$2:$N$7,2,FALSE)</f>
        <v>13.5</v>
      </c>
      <c r="T167" s="6"/>
      <c r="U167" s="51"/>
    </row>
    <row r="168" spans="1:21" x14ac:dyDescent="0.45">
      <c r="A168">
        <f t="shared" si="16"/>
        <v>3</v>
      </c>
      <c r="D168" s="10">
        <v>45670</v>
      </c>
      <c r="E168" s="1" t="str">
        <f t="shared" si="17"/>
        <v>Monday</v>
      </c>
      <c r="F168" t="s">
        <v>16</v>
      </c>
      <c r="G168" s="2">
        <f>123.2+150.35</f>
        <v>273.55</v>
      </c>
      <c r="H168" s="47">
        <f t="shared" si="18"/>
        <v>265.55</v>
      </c>
      <c r="I168" s="24">
        <f t="shared" si="22"/>
        <v>5</v>
      </c>
      <c r="J168" s="2">
        <f t="shared" si="20"/>
        <v>630</v>
      </c>
      <c r="K168" t="s">
        <v>18</v>
      </c>
      <c r="L168" s="6">
        <f t="shared" si="21"/>
        <v>53.11</v>
      </c>
      <c r="M168" s="24">
        <f>SUM(H$2:H168)</f>
        <v>30730.372499999998</v>
      </c>
      <c r="N168" s="24">
        <v>0</v>
      </c>
      <c r="P168" s="24">
        <v>0</v>
      </c>
      <c r="Q168" s="24">
        <v>0</v>
      </c>
      <c r="R168" t="s">
        <v>81</v>
      </c>
      <c r="S168" s="6">
        <f>VLOOKUP(Table1[[#This Row],[Route]],'Dropdown Lists'!$M$2:$N$7,2,FALSE)</f>
        <v>13.5</v>
      </c>
      <c r="T168" s="6"/>
      <c r="U168" s="51"/>
    </row>
    <row r="169" spans="1:21" x14ac:dyDescent="0.45">
      <c r="A169">
        <f t="shared" si="16"/>
        <v>4</v>
      </c>
      <c r="D169" s="10">
        <v>45677</v>
      </c>
      <c r="E169" s="1" t="str">
        <f t="shared" si="17"/>
        <v>Monday</v>
      </c>
      <c r="F169" t="s">
        <v>16</v>
      </c>
      <c r="G169" s="2">
        <f>176.24+184.36</f>
        <v>360.6</v>
      </c>
      <c r="H169" s="47">
        <f t="shared" si="18"/>
        <v>352.6</v>
      </c>
      <c r="I169" s="24">
        <f t="shared" si="22"/>
        <v>7</v>
      </c>
      <c r="J169" s="2">
        <f t="shared" si="20"/>
        <v>637</v>
      </c>
      <c r="K169" t="s">
        <v>18</v>
      </c>
      <c r="L169" s="6">
        <f t="shared" si="21"/>
        <v>50.371428571428574</v>
      </c>
      <c r="M169" s="24">
        <f>SUM(H$2:H169)</f>
        <v>31082.972499999996</v>
      </c>
      <c r="N169" s="24">
        <v>0</v>
      </c>
      <c r="P169" s="24">
        <v>0</v>
      </c>
      <c r="Q169" s="24">
        <v>0</v>
      </c>
      <c r="R169" t="s">
        <v>81</v>
      </c>
      <c r="S169" s="6">
        <f>VLOOKUP(Table1[[#This Row],[Route]],'Dropdown Lists'!$M$2:$N$7,2,FALSE)</f>
        <v>13.5</v>
      </c>
      <c r="T169" s="6"/>
      <c r="U169" s="51"/>
    </row>
    <row r="170" spans="1:21" x14ac:dyDescent="0.45">
      <c r="A170">
        <f t="shared" si="16"/>
        <v>4</v>
      </c>
      <c r="D170" s="10">
        <v>45681</v>
      </c>
      <c r="E170" s="1" t="str">
        <f t="shared" si="17"/>
        <v>Friday</v>
      </c>
      <c r="F170" t="s">
        <v>16</v>
      </c>
      <c r="G170" s="2">
        <f>154.26+110.3</f>
        <v>264.56</v>
      </c>
      <c r="H170" s="47">
        <f t="shared" si="18"/>
        <v>256.56</v>
      </c>
      <c r="I170" s="24">
        <f t="shared" si="22"/>
        <v>4</v>
      </c>
      <c r="J170" s="2">
        <f t="shared" si="20"/>
        <v>641</v>
      </c>
      <c r="K170" t="s">
        <v>18</v>
      </c>
      <c r="L170" s="6">
        <f t="shared" si="21"/>
        <v>64.14</v>
      </c>
      <c r="M170" s="24">
        <f>SUM(H$2:H170)</f>
        <v>31339.532499999998</v>
      </c>
      <c r="N170" s="24">
        <v>0</v>
      </c>
      <c r="P170" s="24">
        <v>0</v>
      </c>
      <c r="Q170" s="24">
        <v>0</v>
      </c>
      <c r="R170" t="s">
        <v>81</v>
      </c>
      <c r="S170" s="6">
        <f>VLOOKUP(Table1[[#This Row],[Route]],'Dropdown Lists'!$M$2:$N$7,2,FALSE)</f>
        <v>13.5</v>
      </c>
      <c r="T170" s="6"/>
      <c r="U170" s="51"/>
    </row>
    <row r="171" spans="1:21" x14ac:dyDescent="0.45">
      <c r="A171">
        <f t="shared" si="16"/>
        <v>5</v>
      </c>
      <c r="D171" s="10">
        <v>45686</v>
      </c>
      <c r="E171" s="1" t="str">
        <f t="shared" si="17"/>
        <v>Wednesday</v>
      </c>
      <c r="F171" t="s">
        <v>16</v>
      </c>
      <c r="G171" s="2">
        <f>129.56+165.22</f>
        <v>294.77999999999997</v>
      </c>
      <c r="H171" s="47">
        <f t="shared" si="18"/>
        <v>286.77999999999997</v>
      </c>
      <c r="I171" s="24">
        <f t="shared" si="22"/>
        <v>5</v>
      </c>
      <c r="J171" s="2">
        <f t="shared" si="20"/>
        <v>646</v>
      </c>
      <c r="K171" t="s">
        <v>18</v>
      </c>
      <c r="L171" s="6">
        <f t="shared" si="21"/>
        <v>57.355999999999995</v>
      </c>
      <c r="M171" s="24">
        <f>SUM(H$2:H171)</f>
        <v>31626.312499999996</v>
      </c>
      <c r="N171" s="24">
        <v>0</v>
      </c>
      <c r="P171" s="24">
        <v>0</v>
      </c>
      <c r="Q171" s="24">
        <v>0</v>
      </c>
      <c r="R171" t="s">
        <v>81</v>
      </c>
      <c r="S171" s="6">
        <f>VLOOKUP(Table1[[#This Row],[Route]],'Dropdown Lists'!$M$2:$N$7,2,FALSE)</f>
        <v>13.5</v>
      </c>
      <c r="T171" s="6"/>
      <c r="U171" s="51"/>
    </row>
    <row r="172" spans="1:21" x14ac:dyDescent="0.45">
      <c r="A172">
        <f t="shared" si="16"/>
        <v>6</v>
      </c>
      <c r="D172" s="10">
        <v>45692</v>
      </c>
      <c r="E172" s="1" t="str">
        <f t="shared" si="17"/>
        <v>Tuesday</v>
      </c>
      <c r="F172" t="s">
        <v>16</v>
      </c>
      <c r="G172" s="2">
        <f>165.22+129.66</f>
        <v>294.88</v>
      </c>
      <c r="H172" s="47">
        <f t="shared" si="18"/>
        <v>286.88</v>
      </c>
      <c r="I172" s="24">
        <f t="shared" si="22"/>
        <v>6</v>
      </c>
      <c r="J172" s="2">
        <f t="shared" si="20"/>
        <v>652</v>
      </c>
      <c r="K172" t="s">
        <v>18</v>
      </c>
      <c r="L172" s="6">
        <f t="shared" si="21"/>
        <v>47.813333333333333</v>
      </c>
      <c r="M172" s="24">
        <f>SUM(H$2:H172)</f>
        <v>31913.192499999997</v>
      </c>
      <c r="N172" s="24">
        <v>0</v>
      </c>
      <c r="P172" s="24">
        <v>0</v>
      </c>
      <c r="Q172" s="24">
        <v>0</v>
      </c>
      <c r="R172" t="s">
        <v>81</v>
      </c>
      <c r="S172" s="6">
        <f>VLOOKUP(Table1[[#This Row],[Route]],'Dropdown Lists'!$M$2:$N$7,2,FALSE)</f>
        <v>13.5</v>
      </c>
      <c r="T172" s="6"/>
      <c r="U172" s="51"/>
    </row>
    <row r="173" spans="1:21" x14ac:dyDescent="0.45">
      <c r="A173">
        <f t="shared" si="16"/>
        <v>6</v>
      </c>
      <c r="D173" s="10">
        <v>45695</v>
      </c>
      <c r="E173" s="1" t="str">
        <f t="shared" si="17"/>
        <v>Friday</v>
      </c>
      <c r="F173" t="s">
        <v>16</v>
      </c>
      <c r="G173" s="2">
        <f>185.56+158.46</f>
        <v>344.02</v>
      </c>
      <c r="H173" s="47">
        <f t="shared" si="18"/>
        <v>336.02</v>
      </c>
      <c r="I173" s="24">
        <f t="shared" si="22"/>
        <v>3</v>
      </c>
      <c r="J173" s="2">
        <f t="shared" si="20"/>
        <v>655</v>
      </c>
      <c r="K173" t="s">
        <v>18</v>
      </c>
      <c r="L173" s="6">
        <f t="shared" si="21"/>
        <v>112.00666666666666</v>
      </c>
      <c r="M173" s="24">
        <f>SUM(H$2:H173)</f>
        <v>32249.212499999998</v>
      </c>
      <c r="N173" s="24">
        <v>0</v>
      </c>
      <c r="P173" s="24">
        <v>0</v>
      </c>
      <c r="Q173" s="24">
        <v>0</v>
      </c>
      <c r="R173" t="s">
        <v>81</v>
      </c>
      <c r="S173" s="6">
        <f>VLOOKUP(Table1[[#This Row],[Route]],'Dropdown Lists'!$M$2:$N$7,2,FALSE)</f>
        <v>13.5</v>
      </c>
      <c r="T173" s="6"/>
      <c r="U173" s="51"/>
    </row>
    <row r="174" spans="1:21" x14ac:dyDescent="0.45">
      <c r="A174">
        <f t="shared" si="16"/>
        <v>7</v>
      </c>
      <c r="D174" s="10">
        <v>45701</v>
      </c>
      <c r="E174" s="1" t="str">
        <f t="shared" si="17"/>
        <v>Thursday</v>
      </c>
      <c r="F174" t="s">
        <v>16</v>
      </c>
      <c r="G174" s="2">
        <f>150.24+125.46</f>
        <v>275.7</v>
      </c>
      <c r="H174" s="47">
        <f t="shared" si="18"/>
        <v>267.7</v>
      </c>
      <c r="I174" s="24">
        <f t="shared" si="22"/>
        <v>6</v>
      </c>
      <c r="J174" s="2">
        <f t="shared" si="20"/>
        <v>661</v>
      </c>
      <c r="K174" t="s">
        <v>18</v>
      </c>
      <c r="L174" s="6">
        <f t="shared" si="21"/>
        <v>44.616666666666667</v>
      </c>
      <c r="M174" s="24">
        <f>SUM(H$2:H174)</f>
        <v>32516.912499999999</v>
      </c>
      <c r="N174" s="24">
        <v>0</v>
      </c>
      <c r="P174" s="24">
        <v>0</v>
      </c>
      <c r="Q174" s="24">
        <v>0</v>
      </c>
      <c r="R174" t="s">
        <v>81</v>
      </c>
      <c r="S174" s="6">
        <f>VLOOKUP(Table1[[#This Row],[Route]],'Dropdown Lists'!$M$2:$N$7,2,FALSE)</f>
        <v>13.5</v>
      </c>
      <c r="T174" s="6"/>
      <c r="U174" s="51"/>
    </row>
    <row r="175" spans="1:21" x14ac:dyDescent="0.45">
      <c r="A175">
        <f t="shared" si="16"/>
        <v>8</v>
      </c>
      <c r="D175" s="10">
        <v>45706</v>
      </c>
      <c r="E175" s="1" t="str">
        <f t="shared" si="17"/>
        <v>Tuesday</v>
      </c>
      <c r="F175" t="s">
        <v>16</v>
      </c>
      <c r="G175" s="2">
        <f>149.32+156.24+100.32+158.34</f>
        <v>564.22</v>
      </c>
      <c r="H175" s="47">
        <f t="shared" si="18"/>
        <v>556.22</v>
      </c>
      <c r="I175" s="24">
        <f>IF(D175-D173&lt;0, 0, D175-D173)</f>
        <v>11</v>
      </c>
      <c r="J175" s="2">
        <f t="shared" si="20"/>
        <v>666</v>
      </c>
      <c r="K175" t="s">
        <v>18</v>
      </c>
      <c r="L175" s="6">
        <f t="shared" si="21"/>
        <v>50.56545454545455</v>
      </c>
      <c r="M175" s="24">
        <f>SUM(H$2:H175)</f>
        <v>33073.1325</v>
      </c>
      <c r="N175" s="24">
        <v>0</v>
      </c>
      <c r="P175" s="24">
        <v>0</v>
      </c>
      <c r="Q175" s="24">
        <v>0</v>
      </c>
      <c r="R175" t="s">
        <v>81</v>
      </c>
      <c r="S175" s="6">
        <f>VLOOKUP(Table1[[#This Row],[Route]],'Dropdown Lists'!$M$2:$N$7,2,FALSE)</f>
        <v>13.5</v>
      </c>
      <c r="T175" s="6"/>
      <c r="U175" s="51"/>
    </row>
    <row r="176" spans="1:21" x14ac:dyDescent="0.45">
      <c r="A176">
        <f t="shared" si="16"/>
        <v>9</v>
      </c>
      <c r="D176" s="10">
        <v>45717</v>
      </c>
      <c r="E176" s="1" t="str">
        <f t="shared" si="17"/>
        <v>Saturday</v>
      </c>
      <c r="F176" t="s">
        <v>16</v>
      </c>
      <c r="G176" s="2">
        <f>132.32+156.24+100.32+145</f>
        <v>533.88</v>
      </c>
      <c r="H176" s="47">
        <f t="shared" si="18"/>
        <v>525.88</v>
      </c>
      <c r="I176" s="24">
        <f t="shared" ref="I176:I203" si="23">IF(D176-D175&lt;0, 0, D176-D175)</f>
        <v>11</v>
      </c>
      <c r="J176" s="2">
        <f t="shared" si="20"/>
        <v>677</v>
      </c>
      <c r="K176" t="s">
        <v>18</v>
      </c>
      <c r="L176" s="6">
        <f t="shared" si="21"/>
        <v>47.807272727272725</v>
      </c>
      <c r="M176" s="24">
        <f>SUM(H$2:H176)</f>
        <v>33599.012499999997</v>
      </c>
      <c r="N176" s="24">
        <v>0</v>
      </c>
      <c r="P176" s="24">
        <v>0</v>
      </c>
      <c r="Q176" s="24">
        <v>0</v>
      </c>
      <c r="R176" t="s">
        <v>80</v>
      </c>
      <c r="S176" s="6">
        <f>VLOOKUP(Table1[[#This Row],[Route]],'Dropdown Lists'!$M$2:$N$7,2,FALSE)</f>
        <v>11.4</v>
      </c>
      <c r="T176" s="6"/>
      <c r="U176" s="51"/>
    </row>
    <row r="177" spans="1:21" x14ac:dyDescent="0.45">
      <c r="A177">
        <f t="shared" si="16"/>
        <v>10</v>
      </c>
      <c r="D177" s="10">
        <v>45723</v>
      </c>
      <c r="E177" s="1" t="str">
        <f t="shared" si="17"/>
        <v>Friday</v>
      </c>
      <c r="F177" t="s">
        <v>16</v>
      </c>
      <c r="G177" s="2">
        <f>120.22+151.21</f>
        <v>271.43</v>
      </c>
      <c r="H177" s="47">
        <f t="shared" si="18"/>
        <v>263.43</v>
      </c>
      <c r="I177" s="24">
        <f t="shared" si="23"/>
        <v>6</v>
      </c>
      <c r="J177" s="2">
        <f t="shared" si="20"/>
        <v>683</v>
      </c>
      <c r="K177" t="s">
        <v>18</v>
      </c>
      <c r="L177" s="6">
        <f t="shared" si="21"/>
        <v>43.905000000000001</v>
      </c>
      <c r="M177" s="24">
        <f>SUM(H$2:H177)</f>
        <v>33862.442499999997</v>
      </c>
      <c r="N177" s="24">
        <v>0</v>
      </c>
      <c r="P177" s="24">
        <v>0</v>
      </c>
      <c r="Q177" s="24">
        <v>0</v>
      </c>
      <c r="R177" t="s">
        <v>81</v>
      </c>
      <c r="S177" s="6">
        <f>VLOOKUP(Table1[[#This Row],[Route]],'Dropdown Lists'!$M$2:$N$7,2,FALSE)</f>
        <v>13.5</v>
      </c>
      <c r="T177" s="6"/>
      <c r="U177" s="51"/>
    </row>
    <row r="178" spans="1:21" x14ac:dyDescent="0.45">
      <c r="A178">
        <f t="shared" si="16"/>
        <v>11</v>
      </c>
      <c r="D178" s="10">
        <v>45727</v>
      </c>
      <c r="E178" s="1" t="str">
        <f t="shared" si="17"/>
        <v>Tuesday</v>
      </c>
      <c r="F178" t="s">
        <v>16</v>
      </c>
      <c r="G178" s="2">
        <v>145.22999999999999</v>
      </c>
      <c r="H178" s="47">
        <f t="shared" si="18"/>
        <v>137.22999999999999</v>
      </c>
      <c r="I178" s="24">
        <f t="shared" si="23"/>
        <v>4</v>
      </c>
      <c r="J178" s="2">
        <f t="shared" si="20"/>
        <v>687</v>
      </c>
      <c r="K178" t="s">
        <v>18</v>
      </c>
      <c r="L178" s="6">
        <f t="shared" si="21"/>
        <v>34.307499999999997</v>
      </c>
      <c r="M178" s="24">
        <f>SUM(H$2:H178)</f>
        <v>33999.672500000001</v>
      </c>
      <c r="N178" s="24">
        <v>0</v>
      </c>
      <c r="P178" s="24">
        <v>0</v>
      </c>
      <c r="Q178" s="24">
        <v>0</v>
      </c>
      <c r="R178" t="s">
        <v>81</v>
      </c>
      <c r="S178" s="6">
        <f>VLOOKUP(Table1[[#This Row],[Route]],'Dropdown Lists'!$M$2:$N$7,2,FALSE)</f>
        <v>13.5</v>
      </c>
      <c r="T178" s="6"/>
      <c r="U178" s="51"/>
    </row>
    <row r="179" spans="1:21" x14ac:dyDescent="0.45">
      <c r="A179">
        <f t="shared" si="16"/>
        <v>12</v>
      </c>
      <c r="D179" s="10">
        <v>45736</v>
      </c>
      <c r="E179" s="1" t="str">
        <f t="shared" si="17"/>
        <v>Thursday</v>
      </c>
      <c r="F179" t="s">
        <v>16</v>
      </c>
      <c r="G179" s="2">
        <f>177.42+202.56+132.8</f>
        <v>512.78</v>
      </c>
      <c r="H179" s="47">
        <f t="shared" si="18"/>
        <v>504.78</v>
      </c>
      <c r="I179" s="24">
        <f t="shared" si="23"/>
        <v>9</v>
      </c>
      <c r="J179" s="2">
        <f t="shared" si="20"/>
        <v>696</v>
      </c>
      <c r="K179" t="s">
        <v>18</v>
      </c>
      <c r="L179" s="6">
        <f t="shared" si="21"/>
        <v>56.086666666666666</v>
      </c>
      <c r="M179" s="24">
        <f>SUM(H$2:H179)</f>
        <v>34504.452499999999</v>
      </c>
      <c r="N179" s="24">
        <v>0</v>
      </c>
      <c r="P179" s="24">
        <v>0</v>
      </c>
      <c r="Q179" s="24">
        <v>0</v>
      </c>
      <c r="R179" t="s">
        <v>81</v>
      </c>
      <c r="S179" s="6">
        <f>VLOOKUP(Table1[[#This Row],[Route]],'Dropdown Lists'!$M$2:$N$7,2,FALSE)</f>
        <v>13.5</v>
      </c>
      <c r="T179" s="6"/>
      <c r="U179" s="51"/>
    </row>
    <row r="180" spans="1:21" x14ac:dyDescent="0.45">
      <c r="A180">
        <f t="shared" si="16"/>
        <v>13</v>
      </c>
      <c r="D180" s="10">
        <v>45742</v>
      </c>
      <c r="E180" s="1" t="str">
        <f t="shared" si="17"/>
        <v>Wednesday</v>
      </c>
      <c r="F180" t="s">
        <v>16</v>
      </c>
      <c r="G180" s="2">
        <f>167.92+182.9</f>
        <v>350.82</v>
      </c>
      <c r="H180" s="47">
        <f t="shared" si="18"/>
        <v>342.82</v>
      </c>
      <c r="I180" s="24">
        <f t="shared" si="23"/>
        <v>6</v>
      </c>
      <c r="J180" s="2">
        <f t="shared" si="20"/>
        <v>702</v>
      </c>
      <c r="K180" t="s">
        <v>18</v>
      </c>
      <c r="L180" s="6">
        <f t="shared" si="21"/>
        <v>57.136666666666663</v>
      </c>
      <c r="M180" s="24">
        <f>SUM(H$2:H180)</f>
        <v>34847.272499999999</v>
      </c>
      <c r="N180" s="24">
        <v>0</v>
      </c>
      <c r="P180" s="24">
        <v>0</v>
      </c>
      <c r="Q180" s="24">
        <v>0</v>
      </c>
      <c r="R180" t="s">
        <v>81</v>
      </c>
      <c r="S180" s="6">
        <f>VLOOKUP(Table1[[#This Row],[Route]],'Dropdown Lists'!$M$2:$N$7,2,FALSE)</f>
        <v>13.5</v>
      </c>
      <c r="T180" s="6"/>
      <c r="U180" s="51"/>
    </row>
    <row r="181" spans="1:21" x14ac:dyDescent="0.45">
      <c r="A181">
        <f t="shared" si="16"/>
        <v>14</v>
      </c>
      <c r="D181" s="10">
        <v>45749</v>
      </c>
      <c r="E181" s="1" t="str">
        <f t="shared" si="17"/>
        <v>Wednesday</v>
      </c>
      <c r="F181" t="s">
        <v>16</v>
      </c>
      <c r="G181" s="2">
        <f>147.54+136.36</f>
        <v>283.89999999999998</v>
      </c>
      <c r="H181" s="47">
        <f t="shared" si="18"/>
        <v>275.89999999999998</v>
      </c>
      <c r="I181" s="24">
        <f t="shared" si="23"/>
        <v>7</v>
      </c>
      <c r="J181" s="2">
        <f t="shared" si="20"/>
        <v>709</v>
      </c>
      <c r="K181" t="s">
        <v>18</v>
      </c>
      <c r="L181" s="6">
        <f t="shared" si="21"/>
        <v>39.414285714285711</v>
      </c>
      <c r="M181" s="24">
        <f>SUM(H$2:H181)</f>
        <v>35123.172500000001</v>
      </c>
      <c r="N181" s="24">
        <v>0</v>
      </c>
      <c r="P181" s="24">
        <v>0</v>
      </c>
      <c r="Q181" s="24">
        <v>0</v>
      </c>
      <c r="R181" t="s">
        <v>81</v>
      </c>
      <c r="S181" s="6">
        <f>VLOOKUP(Table1[[#This Row],[Route]],'Dropdown Lists'!$M$2:$N$7,2,FALSE)</f>
        <v>13.5</v>
      </c>
      <c r="T181" s="6"/>
      <c r="U181" s="51"/>
    </row>
    <row r="182" spans="1:21" x14ac:dyDescent="0.45">
      <c r="A182">
        <f t="shared" si="16"/>
        <v>15</v>
      </c>
      <c r="D182" s="10">
        <v>45754</v>
      </c>
      <c r="E182" s="1" t="str">
        <f t="shared" si="17"/>
        <v>Monday</v>
      </c>
      <c r="F182" t="s">
        <v>16</v>
      </c>
      <c r="G182" s="2">
        <f>87.52+188.59+200.34</f>
        <v>476.45000000000005</v>
      </c>
      <c r="H182" s="47">
        <f t="shared" si="18"/>
        <v>468.45000000000005</v>
      </c>
      <c r="I182" s="24">
        <f t="shared" si="23"/>
        <v>5</v>
      </c>
      <c r="J182" s="2">
        <f t="shared" si="20"/>
        <v>714</v>
      </c>
      <c r="K182" t="s">
        <v>18</v>
      </c>
      <c r="L182" s="6">
        <f t="shared" si="21"/>
        <v>93.690000000000012</v>
      </c>
      <c r="M182" s="24">
        <f>SUM(H$2:H182)</f>
        <v>35591.622499999998</v>
      </c>
      <c r="N182" s="24">
        <v>0</v>
      </c>
      <c r="P182" s="24">
        <v>0</v>
      </c>
      <c r="Q182" s="24">
        <v>0</v>
      </c>
      <c r="R182" t="s">
        <v>81</v>
      </c>
      <c r="S182" s="6">
        <f>VLOOKUP(Table1[[#This Row],[Route]],'Dropdown Lists'!$M$2:$N$7,2,FALSE)</f>
        <v>13.5</v>
      </c>
      <c r="T182" s="6"/>
      <c r="U182" s="51"/>
    </row>
    <row r="183" spans="1:21" x14ac:dyDescent="0.45">
      <c r="A183">
        <f t="shared" si="16"/>
        <v>15</v>
      </c>
      <c r="D183" s="10">
        <v>45758</v>
      </c>
      <c r="E183" s="1" t="str">
        <f t="shared" si="17"/>
        <v>Friday</v>
      </c>
      <c r="F183" t="s">
        <v>16</v>
      </c>
      <c r="G183" s="2">
        <v>217.02</v>
      </c>
      <c r="H183" s="47">
        <f t="shared" si="18"/>
        <v>209.02</v>
      </c>
      <c r="I183" s="24">
        <f t="shared" si="23"/>
        <v>4</v>
      </c>
      <c r="J183" s="2">
        <f t="shared" si="20"/>
        <v>718</v>
      </c>
      <c r="K183" t="s">
        <v>18</v>
      </c>
      <c r="L183" s="6">
        <f t="shared" si="21"/>
        <v>52.255000000000003</v>
      </c>
      <c r="M183" s="24">
        <f>SUM(H$2:H183)</f>
        <v>35800.642499999994</v>
      </c>
      <c r="N183" s="24">
        <v>0</v>
      </c>
      <c r="P183" s="24">
        <f>11.56+18.58</f>
        <v>30.14</v>
      </c>
      <c r="Q183" s="24">
        <v>0</v>
      </c>
      <c r="R183" t="s">
        <v>81</v>
      </c>
      <c r="S183" s="6">
        <f>VLOOKUP(Table1[[#This Row],[Route]],'Dropdown Lists'!$M$2:$N$7,2,FALSE)</f>
        <v>13.5</v>
      </c>
      <c r="T183" s="6"/>
      <c r="U183" s="51"/>
    </row>
    <row r="184" spans="1:21" x14ac:dyDescent="0.45">
      <c r="A184">
        <f t="shared" si="16"/>
        <v>17</v>
      </c>
      <c r="D184" s="10">
        <v>45768</v>
      </c>
      <c r="E184" s="1" t="str">
        <f t="shared" si="17"/>
        <v>Monday</v>
      </c>
      <c r="F184" t="s">
        <v>16</v>
      </c>
      <c r="G184" s="2">
        <f>211.44+201.52</f>
        <v>412.96000000000004</v>
      </c>
      <c r="H184" s="47">
        <f t="shared" si="18"/>
        <v>404.96000000000004</v>
      </c>
      <c r="I184" s="24">
        <f t="shared" si="23"/>
        <v>10</v>
      </c>
      <c r="J184" s="2">
        <f t="shared" si="20"/>
        <v>728</v>
      </c>
      <c r="K184" t="s">
        <v>18</v>
      </c>
      <c r="L184" s="6">
        <f t="shared" si="21"/>
        <v>40.496000000000002</v>
      </c>
      <c r="M184" s="24">
        <f>SUM(H$2:H184)</f>
        <v>36205.602499999994</v>
      </c>
      <c r="N184" s="24">
        <v>0</v>
      </c>
      <c r="P184" s="24">
        <v>0</v>
      </c>
      <c r="Q184" s="24">
        <v>0</v>
      </c>
      <c r="R184" t="s">
        <v>81</v>
      </c>
      <c r="S184" s="6">
        <f>VLOOKUP(Table1[[#This Row],[Route]],'Dropdown Lists'!$M$2:$N$7,2,FALSE)</f>
        <v>13.5</v>
      </c>
      <c r="T184" s="6"/>
      <c r="U184" s="51"/>
    </row>
    <row r="185" spans="1:21" x14ac:dyDescent="0.45">
      <c r="A185">
        <f t="shared" si="16"/>
        <v>18</v>
      </c>
      <c r="D185" s="10">
        <v>45776</v>
      </c>
      <c r="E185" s="1" t="str">
        <f t="shared" si="17"/>
        <v>Tuesday</v>
      </c>
      <c r="F185" t="s">
        <v>16</v>
      </c>
      <c r="G185" s="2">
        <f>199.34+202.64</f>
        <v>401.98</v>
      </c>
      <c r="H185" s="47">
        <f t="shared" si="18"/>
        <v>393.98</v>
      </c>
      <c r="I185" s="24">
        <f t="shared" si="23"/>
        <v>8</v>
      </c>
      <c r="J185" s="2">
        <f t="shared" si="20"/>
        <v>736</v>
      </c>
      <c r="K185" t="s">
        <v>18</v>
      </c>
      <c r="L185" s="6">
        <f t="shared" si="21"/>
        <v>49.247500000000002</v>
      </c>
      <c r="M185" s="24">
        <f>SUM(H$2:H185)</f>
        <v>36599.582499999997</v>
      </c>
      <c r="N185" s="24">
        <v>0</v>
      </c>
      <c r="P185" s="24">
        <v>0</v>
      </c>
      <c r="Q185" s="24">
        <v>0</v>
      </c>
      <c r="R185" t="s">
        <v>81</v>
      </c>
      <c r="S185" s="6">
        <f>VLOOKUP(Table1[[#This Row],[Route]],'Dropdown Lists'!$M$2:$N$7,2,FALSE)</f>
        <v>13.5</v>
      </c>
      <c r="T185" s="6"/>
      <c r="U185" s="51"/>
    </row>
    <row r="186" spans="1:21" x14ac:dyDescent="0.45">
      <c r="A186">
        <f t="shared" si="16"/>
        <v>19</v>
      </c>
      <c r="D186" s="10">
        <v>45784</v>
      </c>
      <c r="E186" s="1" t="str">
        <f t="shared" si="17"/>
        <v>Wednesday</v>
      </c>
      <c r="F186" t="s">
        <v>16</v>
      </c>
      <c r="G186" s="2">
        <f>178.18+191.02</f>
        <v>369.20000000000005</v>
      </c>
      <c r="H186" s="47">
        <f t="shared" si="18"/>
        <v>361.20000000000005</v>
      </c>
      <c r="I186" s="24">
        <f t="shared" si="23"/>
        <v>8</v>
      </c>
      <c r="J186" s="2">
        <f t="shared" si="20"/>
        <v>744</v>
      </c>
      <c r="K186" t="s">
        <v>18</v>
      </c>
      <c r="L186" s="6">
        <f t="shared" si="21"/>
        <v>45.150000000000006</v>
      </c>
      <c r="M186" s="24">
        <f>SUM(H$2:H186)</f>
        <v>36960.782499999994</v>
      </c>
      <c r="N186" s="24">
        <v>0</v>
      </c>
      <c r="P186" s="24">
        <v>0</v>
      </c>
      <c r="Q186" s="24">
        <v>0</v>
      </c>
      <c r="R186" t="s">
        <v>81</v>
      </c>
      <c r="S186" s="6">
        <f>VLOOKUP(Table1[[#This Row],[Route]],'Dropdown Lists'!$M$2:$N$7,2,FALSE)</f>
        <v>13.5</v>
      </c>
      <c r="T186" s="6"/>
      <c r="U186" s="51"/>
    </row>
    <row r="187" spans="1:21" x14ac:dyDescent="0.45">
      <c r="A187">
        <f t="shared" si="16"/>
        <v>20</v>
      </c>
      <c r="D187" s="10">
        <v>45791</v>
      </c>
      <c r="E187" s="1" t="str">
        <f t="shared" si="17"/>
        <v>Wednesday</v>
      </c>
      <c r="F187" t="s">
        <v>16</v>
      </c>
      <c r="G187" s="2">
        <f>195.25+204.15</f>
        <v>399.4</v>
      </c>
      <c r="H187" s="47">
        <f t="shared" si="18"/>
        <v>391.4</v>
      </c>
      <c r="I187" s="24">
        <f t="shared" si="23"/>
        <v>7</v>
      </c>
      <c r="J187" s="2">
        <f t="shared" si="20"/>
        <v>751</v>
      </c>
      <c r="K187" t="s">
        <v>18</v>
      </c>
      <c r="L187" s="6">
        <f t="shared" si="21"/>
        <v>55.914285714285711</v>
      </c>
      <c r="M187" s="24">
        <f>SUM(H$2:H187)</f>
        <v>37352.182499999995</v>
      </c>
      <c r="N187" s="6">
        <f>Table1[[#This Row],[Net lbs]]</f>
        <v>391.4</v>
      </c>
      <c r="O187" s="56">
        <f>Table1[[#This Row],[Date]]</f>
        <v>45791</v>
      </c>
      <c r="P187" s="6">
        <v>0</v>
      </c>
      <c r="Q187" s="6">
        <v>0</v>
      </c>
      <c r="R187" t="s">
        <v>81</v>
      </c>
      <c r="S187" s="6">
        <f>VLOOKUP(Table1[[#This Row],[Route]],'Dropdown Lists'!$M$2:$N$7,2,FALSE)</f>
        <v>13.5</v>
      </c>
      <c r="T187" s="6"/>
      <c r="U187" s="51"/>
    </row>
    <row r="188" spans="1:21" x14ac:dyDescent="0.45">
      <c r="A188">
        <f t="shared" si="16"/>
        <v>21</v>
      </c>
      <c r="D188" s="10">
        <v>45797</v>
      </c>
      <c r="E188" s="1" t="str">
        <f t="shared" si="17"/>
        <v>Tuesday</v>
      </c>
      <c r="F188" t="s">
        <v>16</v>
      </c>
      <c r="G188" s="2">
        <f>120.22+174.1</f>
        <v>294.32</v>
      </c>
      <c r="H188" s="47">
        <f t="shared" si="18"/>
        <v>286.32</v>
      </c>
      <c r="I188" s="24">
        <f t="shared" si="23"/>
        <v>6</v>
      </c>
      <c r="J188" s="2">
        <f t="shared" si="20"/>
        <v>757</v>
      </c>
      <c r="K188" t="s">
        <v>18</v>
      </c>
      <c r="L188" s="6">
        <f t="shared" si="21"/>
        <v>47.72</v>
      </c>
      <c r="M188" s="24">
        <f>SUM(H$2:H188)</f>
        <v>37638.502499999995</v>
      </c>
      <c r="N188" s="24">
        <v>0</v>
      </c>
      <c r="P188" s="24">
        <v>0</v>
      </c>
      <c r="Q188" s="24">
        <v>0</v>
      </c>
      <c r="R188" t="s">
        <v>81</v>
      </c>
      <c r="S188" s="6">
        <f>VLOOKUP(Table1[[#This Row],[Route]],'Dropdown Lists'!$M$2:$N$7,2,FALSE)</f>
        <v>13.5</v>
      </c>
      <c r="T188" s="6"/>
      <c r="U188" s="51"/>
    </row>
    <row r="189" spans="1:21" x14ac:dyDescent="0.45">
      <c r="A189">
        <f t="shared" si="16"/>
        <v>22</v>
      </c>
      <c r="D189" s="10">
        <v>45804</v>
      </c>
      <c r="E189" s="1" t="str">
        <f t="shared" si="17"/>
        <v>Tuesday</v>
      </c>
      <c r="F189" t="s">
        <v>16</v>
      </c>
      <c r="G189" s="2">
        <f>175.34+197.4</f>
        <v>372.74</v>
      </c>
      <c r="H189" s="47">
        <f t="shared" si="18"/>
        <v>364.74</v>
      </c>
      <c r="I189" s="24">
        <f t="shared" si="23"/>
        <v>7</v>
      </c>
      <c r="J189" s="2">
        <f t="shared" si="20"/>
        <v>764</v>
      </c>
      <c r="K189" t="s">
        <v>18</v>
      </c>
      <c r="L189" s="6">
        <f t="shared" si="21"/>
        <v>52.105714285714285</v>
      </c>
      <c r="M189" s="24">
        <f>SUM(H$2:H189)</f>
        <v>38003.242499999993</v>
      </c>
      <c r="N189" s="24">
        <v>0</v>
      </c>
      <c r="P189" s="24">
        <v>0</v>
      </c>
      <c r="Q189" s="24">
        <v>0</v>
      </c>
      <c r="R189" t="s">
        <v>80</v>
      </c>
      <c r="S189" s="6">
        <f>VLOOKUP(Table1[[#This Row],[Route]],'Dropdown Lists'!$M$2:$N$7,2,FALSE)</f>
        <v>11.4</v>
      </c>
      <c r="T189" s="6"/>
      <c r="U189" s="51"/>
    </row>
    <row r="190" spans="1:21" x14ac:dyDescent="0.45">
      <c r="A190">
        <f t="shared" si="16"/>
        <v>23</v>
      </c>
      <c r="D190" s="10">
        <v>45811</v>
      </c>
      <c r="E190" s="1" t="str">
        <f t="shared" si="17"/>
        <v>Tuesday</v>
      </c>
      <c r="F190" t="s">
        <v>16</v>
      </c>
      <c r="G190" s="2">
        <f>176.29+93.14</f>
        <v>269.43</v>
      </c>
      <c r="H190" s="47">
        <f t="shared" si="18"/>
        <v>261.43</v>
      </c>
      <c r="I190" s="24">
        <f t="shared" si="23"/>
        <v>7</v>
      </c>
      <c r="J190" s="2">
        <f t="shared" si="20"/>
        <v>771</v>
      </c>
      <c r="K190" t="s">
        <v>18</v>
      </c>
      <c r="L190" s="6">
        <f t="shared" si="21"/>
        <v>37.347142857142856</v>
      </c>
      <c r="M190" s="24">
        <f>SUM(H$2:H190)</f>
        <v>38264.672499999993</v>
      </c>
      <c r="N190" s="24">
        <f>Table1[[#This Row],[Net lbs]]</f>
        <v>261.43</v>
      </c>
      <c r="O190" s="56">
        <f>Table1[[#This Row],[Date]]</f>
        <v>45811</v>
      </c>
      <c r="P190" s="24">
        <v>0</v>
      </c>
      <c r="Q190" s="24">
        <v>0</v>
      </c>
      <c r="R190" t="s">
        <v>80</v>
      </c>
      <c r="S190" s="6">
        <f>VLOOKUP(Table1[[#This Row],[Route]],'Dropdown Lists'!$M$2:$N$7,2,FALSE)</f>
        <v>11.4</v>
      </c>
      <c r="T190" s="6"/>
      <c r="U190" s="51"/>
    </row>
    <row r="191" spans="1:21" x14ac:dyDescent="0.45">
      <c r="A191">
        <f t="shared" si="16"/>
        <v>24</v>
      </c>
      <c r="D191" s="10">
        <v>45818</v>
      </c>
      <c r="E191" s="1" t="str">
        <f t="shared" si="17"/>
        <v>Tuesday</v>
      </c>
      <c r="F191" t="s">
        <v>16</v>
      </c>
      <c r="G191" s="2">
        <f>187.92+106.2</f>
        <v>294.12</v>
      </c>
      <c r="H191" s="47">
        <f t="shared" si="18"/>
        <v>286.12</v>
      </c>
      <c r="I191" s="24">
        <f t="shared" si="23"/>
        <v>7</v>
      </c>
      <c r="J191" s="2">
        <f t="shared" si="20"/>
        <v>778</v>
      </c>
      <c r="K191" t="s">
        <v>18</v>
      </c>
      <c r="L191" s="6">
        <f t="shared" si="21"/>
        <v>40.874285714285712</v>
      </c>
      <c r="M191" s="24">
        <f>SUM(H$2:H191)</f>
        <v>38550.792499999996</v>
      </c>
      <c r="N191" s="24">
        <f>Table1[[#This Row],[Net lbs]]</f>
        <v>286.12</v>
      </c>
      <c r="O191" s="56">
        <f>Table1[[#This Row],[Date]]</f>
        <v>45818</v>
      </c>
      <c r="P191" s="24">
        <v>0</v>
      </c>
      <c r="Q191" s="24">
        <v>0</v>
      </c>
      <c r="R191" t="s">
        <v>80</v>
      </c>
      <c r="S191" s="6">
        <f>VLOOKUP(Table1[[#This Row],[Route]],'Dropdown Lists'!$M$2:$N$7,2,FALSE)</f>
        <v>11.4</v>
      </c>
      <c r="T191" s="6"/>
      <c r="U191" s="51"/>
    </row>
    <row r="192" spans="1:21" x14ac:dyDescent="0.45">
      <c r="A192">
        <f t="shared" si="16"/>
        <v>25</v>
      </c>
      <c r="D192" s="10">
        <v>45826</v>
      </c>
      <c r="E192" s="1" t="str">
        <f t="shared" si="17"/>
        <v>Wednesday</v>
      </c>
      <c r="F192" t="s">
        <v>16</v>
      </c>
      <c r="G192" s="2">
        <f>211.16+184.02</f>
        <v>395.18</v>
      </c>
      <c r="H192" s="47">
        <f t="shared" si="18"/>
        <v>387.18</v>
      </c>
      <c r="I192" s="24">
        <f t="shared" si="23"/>
        <v>8</v>
      </c>
      <c r="J192" s="2">
        <f t="shared" si="20"/>
        <v>786</v>
      </c>
      <c r="K192" t="s">
        <v>18</v>
      </c>
      <c r="L192" s="6">
        <f t="shared" si="21"/>
        <v>48.397500000000001</v>
      </c>
      <c r="M192" s="24">
        <f>SUM(H$2:H192)</f>
        <v>38937.972499999996</v>
      </c>
      <c r="N192" s="24">
        <v>0</v>
      </c>
      <c r="P192" s="24">
        <v>0</v>
      </c>
      <c r="Q192" s="24">
        <v>0</v>
      </c>
      <c r="R192" t="s">
        <v>80</v>
      </c>
      <c r="S192" s="6">
        <f>VLOOKUP(Table1[[#This Row],[Route]],'Dropdown Lists'!$M$2:$N$7,2,FALSE)</f>
        <v>11.4</v>
      </c>
      <c r="T192" s="6"/>
      <c r="U192" s="51"/>
    </row>
    <row r="193" spans="1:21" x14ac:dyDescent="0.45">
      <c r="A193">
        <f t="shared" si="16"/>
        <v>26</v>
      </c>
      <c r="D193" s="10">
        <v>45833</v>
      </c>
      <c r="E193" s="1" t="str">
        <f t="shared" si="17"/>
        <v>Wednesday</v>
      </c>
      <c r="F193" t="s">
        <v>16</v>
      </c>
      <c r="G193" s="2">
        <f>171.58+190.32</f>
        <v>361.9</v>
      </c>
      <c r="H193" s="47">
        <f t="shared" si="18"/>
        <v>353.9</v>
      </c>
      <c r="I193" s="24">
        <f t="shared" si="23"/>
        <v>7</v>
      </c>
      <c r="J193" s="2">
        <f t="shared" si="20"/>
        <v>793</v>
      </c>
      <c r="K193" t="s">
        <v>18</v>
      </c>
      <c r="L193" s="6">
        <f t="shared" si="21"/>
        <v>50.557142857142857</v>
      </c>
      <c r="M193" s="24">
        <f>SUM(H$2:H193)</f>
        <v>39291.872499999998</v>
      </c>
      <c r="N193" s="24">
        <v>0</v>
      </c>
      <c r="P193" s="24">
        <v>0</v>
      </c>
      <c r="Q193" s="24">
        <v>0</v>
      </c>
      <c r="R193" t="s">
        <v>80</v>
      </c>
      <c r="S193" s="6">
        <f>VLOOKUP(Table1[[#This Row],[Route]],'Dropdown Lists'!$M$2:$N$7,2,FALSE)</f>
        <v>11.4</v>
      </c>
      <c r="T193" s="6"/>
      <c r="U193" s="51"/>
    </row>
    <row r="194" spans="1:21" x14ac:dyDescent="0.45">
      <c r="A194">
        <f t="shared" ref="A194:A257" si="24">WEEKNUM(D194,1)</f>
        <v>27</v>
      </c>
      <c r="D194" s="10">
        <v>45839</v>
      </c>
      <c r="E194" s="1" t="str">
        <f t="shared" ref="E194:E257" si="25">TEXT(D194,"dddd")</f>
        <v>Tuesday</v>
      </c>
      <c r="F194" t="s">
        <v>16</v>
      </c>
      <c r="G194" s="2">
        <v>92.42</v>
      </c>
      <c r="H194" s="47">
        <f t="shared" ref="H194:H206" si="26">G194-8</f>
        <v>84.42</v>
      </c>
      <c r="I194" s="24">
        <f t="shared" si="23"/>
        <v>6</v>
      </c>
      <c r="J194" s="2">
        <f t="shared" si="20"/>
        <v>799</v>
      </c>
      <c r="K194" t="s">
        <v>18</v>
      </c>
      <c r="L194" s="6">
        <f t="shared" si="21"/>
        <v>14.07</v>
      </c>
      <c r="M194" s="24">
        <f>SUM(H$2:H194)</f>
        <v>39376.292499999996</v>
      </c>
      <c r="N194" s="24">
        <v>0</v>
      </c>
      <c r="P194" s="24">
        <v>0</v>
      </c>
      <c r="Q194" s="24">
        <v>0</v>
      </c>
      <c r="R194" t="s">
        <v>80</v>
      </c>
      <c r="S194" s="6">
        <f>VLOOKUP(Table1[[#This Row],[Route]],'Dropdown Lists'!$M$2:$N$7,2,FALSE)</f>
        <v>11.4</v>
      </c>
      <c r="T194" s="6"/>
      <c r="U194" s="51" t="s">
        <v>94</v>
      </c>
    </row>
    <row r="195" spans="1:21" x14ac:dyDescent="0.45">
      <c r="A195">
        <f t="shared" si="24"/>
        <v>48</v>
      </c>
      <c r="D195" s="10">
        <v>45985</v>
      </c>
      <c r="E195" s="1" t="str">
        <f t="shared" si="25"/>
        <v>Monday</v>
      </c>
      <c r="F195" t="s">
        <v>16</v>
      </c>
      <c r="G195" s="2">
        <f>156.52+144.32</f>
        <v>300.84000000000003</v>
      </c>
      <c r="H195" s="47">
        <f t="shared" si="26"/>
        <v>292.84000000000003</v>
      </c>
      <c r="I195" s="24">
        <f t="shared" si="23"/>
        <v>146</v>
      </c>
      <c r="J195" s="2">
        <f t="shared" ref="J195:J203" si="27">D195-$D$2</f>
        <v>945</v>
      </c>
      <c r="K195" t="s">
        <v>18</v>
      </c>
      <c r="L195" s="6">
        <f t="shared" ref="L195:L203" si="28">H195/I195</f>
        <v>2.0057534246575344</v>
      </c>
      <c r="M195" s="24">
        <f>SUM(H$2:H195)</f>
        <v>39669.132499999992</v>
      </c>
      <c r="N195" s="24">
        <v>0</v>
      </c>
      <c r="P195" s="24">
        <v>15</v>
      </c>
      <c r="Q195" s="24">
        <v>0</v>
      </c>
      <c r="R195" t="s">
        <v>80</v>
      </c>
      <c r="S195" s="6">
        <f>VLOOKUP(Table1[[#This Row],[Route]],'Dropdown Lists'!$M$2:$N$7,2,FALSE)</f>
        <v>11.4</v>
      </c>
      <c r="T195" s="6"/>
      <c r="U195" s="51" t="s">
        <v>95</v>
      </c>
    </row>
    <row r="196" spans="1:21" x14ac:dyDescent="0.45">
      <c r="A196">
        <f t="shared" si="24"/>
        <v>49</v>
      </c>
      <c r="D196" s="10">
        <v>45992</v>
      </c>
      <c r="E196" s="1" t="str">
        <f t="shared" si="25"/>
        <v>Monday</v>
      </c>
      <c r="F196" t="s">
        <v>16</v>
      </c>
      <c r="G196" s="2">
        <f>191.44+188.76</f>
        <v>380.2</v>
      </c>
      <c r="H196" s="47">
        <f t="shared" si="26"/>
        <v>372.2</v>
      </c>
      <c r="I196" s="24">
        <f t="shared" si="23"/>
        <v>7</v>
      </c>
      <c r="J196" s="2">
        <f t="shared" si="27"/>
        <v>952</v>
      </c>
      <c r="K196" t="s">
        <v>18</v>
      </c>
      <c r="L196" s="6">
        <f t="shared" si="28"/>
        <v>53.171428571428571</v>
      </c>
      <c r="M196" s="24">
        <f>SUM(H$2:H196)</f>
        <v>40041.33249999999</v>
      </c>
      <c r="N196" s="24">
        <v>0</v>
      </c>
      <c r="P196" s="24">
        <v>0</v>
      </c>
      <c r="Q196" s="24">
        <v>0</v>
      </c>
      <c r="R196" t="s">
        <v>81</v>
      </c>
      <c r="S196" s="6">
        <f>VLOOKUP(Table1[[#This Row],[Route]],'Dropdown Lists'!$M$2:$N$7,2,FALSE)</f>
        <v>13.5</v>
      </c>
      <c r="T196" s="6"/>
      <c r="U196" s="51"/>
    </row>
    <row r="197" spans="1:21" x14ac:dyDescent="0.45">
      <c r="A197">
        <f t="shared" si="24"/>
        <v>50</v>
      </c>
      <c r="D197" s="10">
        <v>45999</v>
      </c>
      <c r="E197" s="1" t="str">
        <f t="shared" si="25"/>
        <v>Monday</v>
      </c>
      <c r="F197" t="s">
        <v>16</v>
      </c>
      <c r="G197" s="2">
        <f>192.88+196.4</f>
        <v>389.28</v>
      </c>
      <c r="H197" s="47">
        <f t="shared" si="26"/>
        <v>381.28</v>
      </c>
      <c r="I197" s="24">
        <f t="shared" si="23"/>
        <v>7</v>
      </c>
      <c r="J197" s="2">
        <f t="shared" si="27"/>
        <v>959</v>
      </c>
      <c r="K197" t="s">
        <v>18</v>
      </c>
      <c r="L197" s="6">
        <f t="shared" si="28"/>
        <v>54.468571428571423</v>
      </c>
      <c r="M197" s="24">
        <f>SUM(H$2:H197)</f>
        <v>40422.612499999988</v>
      </c>
      <c r="N197" s="24">
        <v>0</v>
      </c>
      <c r="P197" s="24">
        <v>0</v>
      </c>
      <c r="Q197" s="24">
        <v>0</v>
      </c>
      <c r="R197" t="s">
        <v>81</v>
      </c>
      <c r="S197" s="6">
        <f>VLOOKUP(Table1[[#This Row],[Route]],'Dropdown Lists'!$M$2:$N$7,2,FALSE)</f>
        <v>13.5</v>
      </c>
      <c r="T197" s="6"/>
      <c r="U197" s="51"/>
    </row>
    <row r="198" spans="1:21" x14ac:dyDescent="0.45">
      <c r="A198">
        <f t="shared" si="24"/>
        <v>50</v>
      </c>
      <c r="D198" s="10">
        <v>46003</v>
      </c>
      <c r="E198" s="1" t="str">
        <f t="shared" si="25"/>
        <v>Friday</v>
      </c>
      <c r="F198" t="s">
        <v>16</v>
      </c>
      <c r="G198" s="2">
        <f>144.82+148.4</f>
        <v>293.22000000000003</v>
      </c>
      <c r="H198" s="47">
        <f t="shared" si="26"/>
        <v>285.22000000000003</v>
      </c>
      <c r="I198" s="24">
        <f t="shared" si="23"/>
        <v>4</v>
      </c>
      <c r="J198" s="2">
        <f t="shared" si="27"/>
        <v>963</v>
      </c>
      <c r="K198" t="s">
        <v>5</v>
      </c>
      <c r="L198" s="6">
        <f t="shared" si="28"/>
        <v>71.305000000000007</v>
      </c>
      <c r="M198" s="24">
        <f>SUM(H$2:H198)</f>
        <v>40707.83249999999</v>
      </c>
      <c r="N198" s="24">
        <v>0</v>
      </c>
      <c r="P198" s="24">
        <v>11</v>
      </c>
      <c r="Q198" s="24">
        <v>0</v>
      </c>
      <c r="R198" t="s">
        <v>81</v>
      </c>
      <c r="S198" s="6">
        <f>VLOOKUP(Table1[[#This Row],[Route]],'Dropdown Lists'!$M$2:$N$7,2,FALSE)</f>
        <v>13.5</v>
      </c>
      <c r="T198" s="6"/>
      <c r="U198" s="51"/>
    </row>
    <row r="199" spans="1:21" x14ac:dyDescent="0.45">
      <c r="A199">
        <f t="shared" si="24"/>
        <v>51</v>
      </c>
      <c r="D199" s="10">
        <v>46006</v>
      </c>
      <c r="E199" s="1" t="str">
        <f t="shared" si="25"/>
        <v>Monday</v>
      </c>
      <c r="F199" t="s">
        <v>16</v>
      </c>
      <c r="G199" s="2">
        <v>198</v>
      </c>
      <c r="H199" s="47">
        <f t="shared" si="26"/>
        <v>190</v>
      </c>
      <c r="I199" s="24">
        <f t="shared" si="23"/>
        <v>3</v>
      </c>
      <c r="J199" s="2">
        <f t="shared" si="27"/>
        <v>966</v>
      </c>
      <c r="K199" t="s">
        <v>18</v>
      </c>
      <c r="L199" s="6">
        <f t="shared" si="28"/>
        <v>63.333333333333336</v>
      </c>
      <c r="M199" s="24">
        <f>SUM(H$2:H199)</f>
        <v>40897.83249999999</v>
      </c>
      <c r="N199" s="24">
        <v>0</v>
      </c>
      <c r="P199" s="24">
        <v>0</v>
      </c>
      <c r="Q199" s="24">
        <v>0</v>
      </c>
      <c r="R199" t="s">
        <v>80</v>
      </c>
      <c r="S199" s="6">
        <f>VLOOKUP(Table1[[#This Row],[Route]],'Dropdown Lists'!$M$2:$N$7,2,FALSE)</f>
        <v>11.4</v>
      </c>
      <c r="T199" s="6"/>
      <c r="U199" s="51"/>
    </row>
    <row r="200" spans="1:21" x14ac:dyDescent="0.45">
      <c r="A200">
        <f t="shared" si="24"/>
        <v>52</v>
      </c>
      <c r="D200" s="10">
        <v>46013</v>
      </c>
      <c r="E200" s="1" t="str">
        <f t="shared" si="25"/>
        <v>Monday</v>
      </c>
      <c r="F200" t="s">
        <v>16</v>
      </c>
      <c r="G200" s="2">
        <f>167.92+197.7</f>
        <v>365.62</v>
      </c>
      <c r="H200" s="47">
        <f t="shared" si="26"/>
        <v>357.62</v>
      </c>
      <c r="I200" s="24">
        <f t="shared" si="23"/>
        <v>7</v>
      </c>
      <c r="J200" s="2">
        <f t="shared" si="27"/>
        <v>973</v>
      </c>
      <c r="K200" t="s">
        <v>18</v>
      </c>
      <c r="L200" s="6">
        <f t="shared" si="28"/>
        <v>51.088571428571427</v>
      </c>
      <c r="M200" s="24">
        <f>SUM(H$2:H200)</f>
        <v>41255.452499999992</v>
      </c>
      <c r="N200" s="24">
        <v>0</v>
      </c>
      <c r="P200" s="24">
        <v>0</v>
      </c>
      <c r="Q200" s="24">
        <v>0</v>
      </c>
      <c r="R200" t="s">
        <v>80</v>
      </c>
      <c r="S200" s="6">
        <f>VLOOKUP(Table1[[#This Row],[Route]],'Dropdown Lists'!$M$2:$N$7,2,FALSE)</f>
        <v>11.4</v>
      </c>
      <c r="T200" s="6"/>
      <c r="U200" s="51"/>
    </row>
    <row r="201" spans="1:21" x14ac:dyDescent="0.45">
      <c r="A201">
        <f t="shared" si="24"/>
        <v>52</v>
      </c>
      <c r="D201" s="10">
        <v>46018</v>
      </c>
      <c r="E201" s="1" t="str">
        <f t="shared" si="25"/>
        <v>Saturday</v>
      </c>
      <c r="F201" t="s">
        <v>16</v>
      </c>
      <c r="G201" s="2">
        <v>145.04</v>
      </c>
      <c r="H201" s="47">
        <f t="shared" si="26"/>
        <v>137.04</v>
      </c>
      <c r="I201" s="24">
        <f t="shared" si="23"/>
        <v>5</v>
      </c>
      <c r="J201" s="2">
        <f t="shared" si="27"/>
        <v>978</v>
      </c>
      <c r="K201" t="s">
        <v>5</v>
      </c>
      <c r="L201" s="6">
        <f t="shared" si="28"/>
        <v>27.407999999999998</v>
      </c>
      <c r="M201" s="24">
        <f>SUM(H$2:H201)</f>
        <v>41392.492499999993</v>
      </c>
      <c r="N201" s="24">
        <v>0</v>
      </c>
      <c r="P201" s="24">
        <v>0</v>
      </c>
      <c r="Q201" s="24">
        <v>0</v>
      </c>
      <c r="R201" t="s">
        <v>80</v>
      </c>
      <c r="S201" s="6">
        <f>VLOOKUP(Table1[[#This Row],[Route]],'Dropdown Lists'!$M$2:$N$7,2,FALSE)</f>
        <v>11.4</v>
      </c>
      <c r="T201" s="6"/>
      <c r="U201" s="51"/>
    </row>
    <row r="202" spans="1:21" x14ac:dyDescent="0.45">
      <c r="A202">
        <f t="shared" si="24"/>
        <v>53</v>
      </c>
      <c r="D202" s="10">
        <v>46020</v>
      </c>
      <c r="E202" s="1" t="str">
        <f t="shared" si="25"/>
        <v>Monday</v>
      </c>
      <c r="F202" t="s">
        <v>16</v>
      </c>
      <c r="G202" s="2">
        <f>93.02+112.2</f>
        <v>205.22</v>
      </c>
      <c r="H202" s="47">
        <f t="shared" si="26"/>
        <v>197.22</v>
      </c>
      <c r="I202" s="24">
        <f t="shared" si="23"/>
        <v>2</v>
      </c>
      <c r="J202" s="2">
        <f t="shared" si="27"/>
        <v>980</v>
      </c>
      <c r="K202" t="s">
        <v>18</v>
      </c>
      <c r="L202" s="6">
        <f t="shared" si="28"/>
        <v>98.61</v>
      </c>
      <c r="M202" s="24">
        <f>SUM(H$2:H202)</f>
        <v>41589.712499999994</v>
      </c>
      <c r="N202" s="24">
        <v>0</v>
      </c>
      <c r="P202" s="24">
        <f>6.46+12.02</f>
        <v>18.48</v>
      </c>
      <c r="Q202" s="24">
        <v>0</v>
      </c>
      <c r="R202" t="s">
        <v>81</v>
      </c>
      <c r="S202" s="6">
        <f>VLOOKUP(Table1[[#This Row],[Route]],'Dropdown Lists'!$M$2:$N$7,2,FALSE)</f>
        <v>13.5</v>
      </c>
      <c r="T202" s="6"/>
      <c r="U202" s="51"/>
    </row>
    <row r="203" spans="1:21" x14ac:dyDescent="0.45">
      <c r="A203">
        <v>1</v>
      </c>
      <c r="D203" s="10">
        <v>46027</v>
      </c>
      <c r="E203" s="1" t="str">
        <f t="shared" si="25"/>
        <v>Monday</v>
      </c>
      <c r="F203" t="s">
        <v>16</v>
      </c>
      <c r="G203" s="2">
        <f>130.94+195.46</f>
        <v>326.39999999999998</v>
      </c>
      <c r="H203" s="47">
        <f t="shared" si="26"/>
        <v>318.39999999999998</v>
      </c>
      <c r="I203" s="24">
        <f t="shared" si="23"/>
        <v>7</v>
      </c>
      <c r="J203" s="2">
        <f t="shared" si="27"/>
        <v>987</v>
      </c>
      <c r="K203" t="s">
        <v>18</v>
      </c>
      <c r="L203" s="6">
        <f t="shared" si="28"/>
        <v>45.48571428571428</v>
      </c>
      <c r="M203" s="24">
        <f>SUM(H$2:H298)</f>
        <v>70597.252499999988</v>
      </c>
      <c r="N203" s="24">
        <v>0</v>
      </c>
      <c r="P203" s="24">
        <v>0</v>
      </c>
      <c r="Q203" s="24">
        <v>0</v>
      </c>
      <c r="R203" t="s">
        <v>81</v>
      </c>
      <c r="S203" s="6">
        <f>VLOOKUP(Table1[[#This Row],[Route]],'Dropdown Lists'!$M$2:$N$7,2,FALSE)</f>
        <v>13.5</v>
      </c>
      <c r="T203" s="6"/>
      <c r="U203" s="51"/>
    </row>
    <row r="204" spans="1:21" x14ac:dyDescent="0.45">
      <c r="A204">
        <f t="shared" ref="A204:A206" si="29">WEEKNUM(D204-7,1)</f>
        <v>2</v>
      </c>
      <c r="D204" s="10">
        <v>46034</v>
      </c>
      <c r="E204" s="1" t="str">
        <f t="shared" si="25"/>
        <v>Monday</v>
      </c>
      <c r="F204" t="s">
        <v>65</v>
      </c>
      <c r="G204" s="2">
        <v>131.54</v>
      </c>
      <c r="H204" s="47">
        <f t="shared" si="26"/>
        <v>123.53999999999999</v>
      </c>
      <c r="I204" s="24">
        <f>IF(D204-D203&lt;0, 0, D204-D203)</f>
        <v>7</v>
      </c>
      <c r="J204" s="2">
        <f>D204-$D$2</f>
        <v>994</v>
      </c>
      <c r="K204" t="s">
        <v>18</v>
      </c>
      <c r="L204" s="6">
        <f t="shared" ref="L204:L209" si="30">H204/I204</f>
        <v>17.648571428571426</v>
      </c>
      <c r="M204" s="24">
        <f>SUM(H$2:H204)</f>
        <v>42031.652499999997</v>
      </c>
      <c r="N204" s="24">
        <v>0</v>
      </c>
      <c r="P204" s="24">
        <v>12.68</v>
      </c>
      <c r="Q204" s="24">
        <v>0</v>
      </c>
      <c r="R204" t="s">
        <v>84</v>
      </c>
      <c r="S204" s="6">
        <f>VLOOKUP(Table1[[#This Row],[Route]],'Dropdown Lists'!$M$2:$N$7,2,FALSE)</f>
        <v>7.5</v>
      </c>
      <c r="T204" s="6"/>
      <c r="U204" s="51"/>
    </row>
    <row r="205" spans="1:21" x14ac:dyDescent="0.45">
      <c r="A205">
        <f t="shared" si="29"/>
        <v>2</v>
      </c>
      <c r="D205" s="10">
        <v>46034</v>
      </c>
      <c r="E205" s="1" t="str">
        <f t="shared" si="25"/>
        <v>Monday</v>
      </c>
      <c r="F205" t="s">
        <v>16</v>
      </c>
      <c r="G205" s="2">
        <f>179.06+166.38</f>
        <v>345.44</v>
      </c>
      <c r="H205" s="47">
        <f t="shared" si="26"/>
        <v>337.44</v>
      </c>
      <c r="I205" s="24">
        <v>7</v>
      </c>
      <c r="J205" s="2">
        <f>D205-$D$2</f>
        <v>994</v>
      </c>
      <c r="K205" t="s">
        <v>18</v>
      </c>
      <c r="L205" s="6">
        <f t="shared" si="30"/>
        <v>48.205714285714286</v>
      </c>
      <c r="M205" s="24">
        <f>SUM(H$2:H205)</f>
        <v>42369.092499999999</v>
      </c>
      <c r="N205" s="24">
        <v>0</v>
      </c>
      <c r="P205" s="24">
        <v>0</v>
      </c>
      <c r="Q205" s="24">
        <v>0</v>
      </c>
      <c r="R205" t="s">
        <v>85</v>
      </c>
      <c r="S205" s="6">
        <f>VLOOKUP(Table1[[#This Row],[Route]],'Dropdown Lists'!$M$2:$N$7,2,FALSE)</f>
        <v>1.9</v>
      </c>
      <c r="T205" s="6"/>
      <c r="U205" s="51"/>
    </row>
    <row r="206" spans="1:21" x14ac:dyDescent="0.45">
      <c r="A206">
        <f t="shared" si="29"/>
        <v>2</v>
      </c>
      <c r="D206" s="10">
        <v>46034</v>
      </c>
      <c r="E206" s="1" t="str">
        <f t="shared" si="25"/>
        <v>Monday</v>
      </c>
      <c r="F206" t="s">
        <v>67</v>
      </c>
      <c r="G206" s="2">
        <v>59.78</v>
      </c>
      <c r="H206" s="47">
        <f t="shared" si="26"/>
        <v>51.78</v>
      </c>
      <c r="I206" s="24">
        <v>7</v>
      </c>
      <c r="J206" s="2">
        <f t="shared" ref="J206" si="31">D206-$D$2</f>
        <v>994</v>
      </c>
      <c r="K206" t="s">
        <v>18</v>
      </c>
      <c r="L206" s="6">
        <f t="shared" si="30"/>
        <v>7.3971428571428577</v>
      </c>
      <c r="M206" s="24">
        <f>SUM(H$2:H206)</f>
        <v>42420.872499999998</v>
      </c>
      <c r="N206" s="24">
        <v>0</v>
      </c>
      <c r="P206" s="24">
        <v>3</v>
      </c>
      <c r="Q206" s="24">
        <v>0</v>
      </c>
      <c r="R206" t="s">
        <v>86</v>
      </c>
      <c r="S206" s="6">
        <f>VLOOKUP(Table1[[#This Row],[Route]],'Dropdown Lists'!$M$2:$N$7,2,FALSE)</f>
        <v>13.7</v>
      </c>
      <c r="T206" s="6"/>
      <c r="U206" s="51"/>
    </row>
    <row r="207" spans="1:21" x14ac:dyDescent="0.45">
      <c r="A207">
        <f t="shared" si="24"/>
        <v>4</v>
      </c>
      <c r="D207" s="10">
        <v>46041</v>
      </c>
      <c r="E207" s="1" t="str">
        <f t="shared" si="25"/>
        <v>Monday</v>
      </c>
      <c r="F207" t="s">
        <v>65</v>
      </c>
      <c r="G207" s="2">
        <f>44.22+180.34</f>
        <v>224.56</v>
      </c>
      <c r="H207" s="47">
        <f t="shared" ref="H207:H216" si="32">G207-8</f>
        <v>216.56</v>
      </c>
      <c r="I207" s="24">
        <f t="shared" ref="I207" si="33">IF(D207-D206&lt;0, 0, D207-D206)</f>
        <v>7</v>
      </c>
      <c r="J207" s="2">
        <f>D207-$D$2</f>
        <v>1001</v>
      </c>
      <c r="K207" t="s">
        <v>18</v>
      </c>
      <c r="L207" s="6">
        <f t="shared" si="30"/>
        <v>30.937142857142856</v>
      </c>
      <c r="M207" s="24">
        <f>SUM(H$2:H207)</f>
        <v>42637.432499999995</v>
      </c>
      <c r="N207" s="24">
        <v>0</v>
      </c>
      <c r="P207" s="24">
        <v>0</v>
      </c>
      <c r="Q207" s="24">
        <v>0</v>
      </c>
      <c r="R207" t="s">
        <v>84</v>
      </c>
      <c r="S207" s="6">
        <f>VLOOKUP(Table1[[#This Row],[Route]],'Dropdown Lists'!$M$2:$N$7,2,FALSE)</f>
        <v>7.5</v>
      </c>
      <c r="T207" s="6"/>
      <c r="U207" s="51"/>
    </row>
    <row r="208" spans="1:21" x14ac:dyDescent="0.45">
      <c r="A208">
        <f t="shared" si="24"/>
        <v>4</v>
      </c>
      <c r="D208" s="10">
        <v>46041</v>
      </c>
      <c r="E208" s="1" t="str">
        <f t="shared" si="25"/>
        <v>Monday</v>
      </c>
      <c r="F208" t="s">
        <v>16</v>
      </c>
      <c r="G208" s="2">
        <f>38.74+189.7+198.54</f>
        <v>426.98</v>
      </c>
      <c r="H208" s="47">
        <f t="shared" si="32"/>
        <v>418.98</v>
      </c>
      <c r="I208" s="24">
        <v>7</v>
      </c>
      <c r="J208" s="2">
        <f t="shared" ref="J208:J209" si="34">D208-$D$2</f>
        <v>1001</v>
      </c>
      <c r="K208" t="s">
        <v>18</v>
      </c>
      <c r="L208" s="6">
        <f t="shared" si="30"/>
        <v>59.854285714285716</v>
      </c>
      <c r="M208" s="24">
        <f>SUM(H$2:H208)</f>
        <v>43056.412499999999</v>
      </c>
      <c r="N208" s="24">
        <v>0</v>
      </c>
      <c r="P208" s="24">
        <v>4.3</v>
      </c>
      <c r="Q208" s="24">
        <v>0</v>
      </c>
      <c r="R208" t="s">
        <v>85</v>
      </c>
      <c r="S208" s="6">
        <f>VLOOKUP(Table1[[#This Row],[Route]],'Dropdown Lists'!$M$2:$N$7,2,FALSE)</f>
        <v>1.9</v>
      </c>
      <c r="T208" s="6"/>
      <c r="U208" s="51"/>
    </row>
    <row r="209" spans="1:21" x14ac:dyDescent="0.45">
      <c r="A209">
        <f t="shared" si="24"/>
        <v>4</v>
      </c>
      <c r="D209" s="10">
        <v>46041</v>
      </c>
      <c r="E209" s="1" t="str">
        <f t="shared" si="25"/>
        <v>Monday</v>
      </c>
      <c r="F209" t="s">
        <v>67</v>
      </c>
      <c r="G209" s="50">
        <f>167.38+211.5</f>
        <v>378.88</v>
      </c>
      <c r="H209" s="47">
        <f t="shared" si="32"/>
        <v>370.88</v>
      </c>
      <c r="I209" s="24">
        <v>7</v>
      </c>
      <c r="J209" s="2">
        <f t="shared" si="34"/>
        <v>1001</v>
      </c>
      <c r="K209" t="s">
        <v>18</v>
      </c>
      <c r="L209" s="6">
        <f t="shared" si="30"/>
        <v>52.982857142857142</v>
      </c>
      <c r="M209" s="24">
        <f>SUM(H$2:H209)</f>
        <v>43427.292499999996</v>
      </c>
      <c r="N209" s="24">
        <v>0</v>
      </c>
      <c r="P209" s="24">
        <v>0</v>
      </c>
      <c r="Q209" s="24">
        <v>0</v>
      </c>
      <c r="R209" t="s">
        <v>86</v>
      </c>
      <c r="S209" s="6">
        <f>VLOOKUP(Table1[[#This Row],[Route]],'Dropdown Lists'!$M$2:$N$7,2,FALSE)</f>
        <v>13.7</v>
      </c>
      <c r="T209" s="6"/>
      <c r="U209" s="51"/>
    </row>
    <row r="210" spans="1:21" x14ac:dyDescent="0.45">
      <c r="A210">
        <f t="shared" si="24"/>
        <v>5</v>
      </c>
      <c r="D210" s="10">
        <v>46048</v>
      </c>
      <c r="E210" s="1" t="str">
        <f t="shared" si="25"/>
        <v>Monday</v>
      </c>
      <c r="F210" t="s">
        <v>65</v>
      </c>
      <c r="G210" s="2">
        <f>105.2+143.56</f>
        <v>248.76</v>
      </c>
      <c r="H210" s="47">
        <f t="shared" si="32"/>
        <v>240.76</v>
      </c>
      <c r="I210" s="24">
        <f t="shared" ref="I210" si="35">IF(D210-D209&lt;0, 0, D210-D209)</f>
        <v>7</v>
      </c>
      <c r="J210" s="2">
        <f t="shared" ref="J210:J216" si="36">D210-$D$2</f>
        <v>1008</v>
      </c>
      <c r="K210" t="s">
        <v>18</v>
      </c>
      <c r="L210" s="6">
        <f t="shared" ref="L210:L215" si="37">H210/I210</f>
        <v>34.394285714285715</v>
      </c>
      <c r="M210" s="24">
        <f>SUM(H$2:H210)</f>
        <v>43668.052499999998</v>
      </c>
      <c r="N210" s="24">
        <v>0</v>
      </c>
      <c r="P210" s="24">
        <v>0</v>
      </c>
      <c r="Q210" s="24">
        <v>0</v>
      </c>
      <c r="R210" t="s">
        <v>84</v>
      </c>
      <c r="S210" s="6">
        <f>VLOOKUP(Table1[[#This Row],[Route]],'Dropdown Lists'!$M$2:$N$7,2,FALSE)</f>
        <v>7.5</v>
      </c>
      <c r="T210" s="6"/>
      <c r="U210" s="51"/>
    </row>
    <row r="211" spans="1:21" x14ac:dyDescent="0.45">
      <c r="A211">
        <f t="shared" si="24"/>
        <v>5</v>
      </c>
      <c r="D211" s="10" t="s">
        <v>87</v>
      </c>
      <c r="E211" s="1" t="str">
        <f t="shared" si="25"/>
        <v>Monday</v>
      </c>
      <c r="F211" t="s">
        <v>16</v>
      </c>
      <c r="G211" s="2">
        <f>202.36+186.42</f>
        <v>388.78</v>
      </c>
      <c r="H211" s="47">
        <f t="shared" si="32"/>
        <v>380.78</v>
      </c>
      <c r="I211" s="24">
        <v>7</v>
      </c>
      <c r="J211" s="2">
        <f t="shared" si="36"/>
        <v>1008</v>
      </c>
      <c r="K211" t="s">
        <v>18</v>
      </c>
      <c r="L211" s="6">
        <f t="shared" si="37"/>
        <v>54.397142857142853</v>
      </c>
      <c r="M211" s="24">
        <f>SUM(H$2:H211)</f>
        <v>44048.832499999997</v>
      </c>
      <c r="N211" s="24">
        <v>0</v>
      </c>
      <c r="P211" s="24">
        <v>13.36</v>
      </c>
      <c r="Q211" s="24">
        <v>0</v>
      </c>
      <c r="R211" t="s">
        <v>85</v>
      </c>
      <c r="S211" s="6">
        <f>VLOOKUP(Table1[[#This Row],[Route]],'Dropdown Lists'!$M$2:$N$7,2,FALSE)</f>
        <v>1.9</v>
      </c>
      <c r="T211" s="6"/>
      <c r="U211" s="51"/>
    </row>
    <row r="212" spans="1:21" x14ac:dyDescent="0.45">
      <c r="A212">
        <f t="shared" si="24"/>
        <v>5</v>
      </c>
      <c r="D212" s="10" t="s">
        <v>87</v>
      </c>
      <c r="E212" s="1" t="str">
        <f t="shared" si="25"/>
        <v>Monday</v>
      </c>
      <c r="F212" t="s">
        <v>67</v>
      </c>
      <c r="G212" s="2">
        <v>148.88</v>
      </c>
      <c r="H212" s="47">
        <f t="shared" si="32"/>
        <v>140.88</v>
      </c>
      <c r="I212" s="24">
        <v>7</v>
      </c>
      <c r="J212" s="2">
        <f t="shared" si="36"/>
        <v>1008</v>
      </c>
      <c r="K212" t="s">
        <v>18</v>
      </c>
      <c r="L212" s="6">
        <f t="shared" si="37"/>
        <v>20.125714285714285</v>
      </c>
      <c r="M212" s="24">
        <f>SUM(H$2:H212)</f>
        <v>44189.712499999994</v>
      </c>
      <c r="N212" s="24">
        <v>0</v>
      </c>
      <c r="P212" s="24">
        <v>0</v>
      </c>
      <c r="Q212" s="24">
        <v>0</v>
      </c>
      <c r="R212" t="s">
        <v>86</v>
      </c>
      <c r="S212" s="6">
        <f>VLOOKUP(Table1[[#This Row],[Route]],'Dropdown Lists'!$M$2:$N$7,2,FALSE)</f>
        <v>13.7</v>
      </c>
      <c r="T212" s="6"/>
      <c r="U212" s="51"/>
    </row>
    <row r="213" spans="1:21" x14ac:dyDescent="0.45">
      <c r="A213">
        <f t="shared" si="24"/>
        <v>6</v>
      </c>
      <c r="D213" s="10">
        <v>46055</v>
      </c>
      <c r="E213" s="1" t="str">
        <f t="shared" si="25"/>
        <v>Monday</v>
      </c>
      <c r="F213" t="s">
        <v>65</v>
      </c>
      <c r="G213" s="2">
        <f>115.82+132.66</f>
        <v>248.48</v>
      </c>
      <c r="H213" s="47">
        <f t="shared" si="32"/>
        <v>240.48</v>
      </c>
      <c r="I213" s="24">
        <v>7</v>
      </c>
      <c r="J213" s="2">
        <f t="shared" si="36"/>
        <v>1015</v>
      </c>
      <c r="K213" t="s">
        <v>18</v>
      </c>
      <c r="L213" s="6">
        <f t="shared" si="37"/>
        <v>34.354285714285716</v>
      </c>
      <c r="M213" s="24">
        <f>SUM(H$2:H213)</f>
        <v>44430.192499999997</v>
      </c>
      <c r="N213" s="24">
        <v>0</v>
      </c>
      <c r="P213" s="24">
        <v>0</v>
      </c>
      <c r="Q213" s="24">
        <v>0</v>
      </c>
      <c r="R213" t="s">
        <v>84</v>
      </c>
      <c r="S213" s="6">
        <f>VLOOKUP(Table1[[#This Row],[Route]],'Dropdown Lists'!$M$2:$N$7,2,FALSE)</f>
        <v>7.5</v>
      </c>
      <c r="T213" s="6"/>
      <c r="U213" s="51" t="s">
        <v>92</v>
      </c>
    </row>
    <row r="214" spans="1:21" x14ac:dyDescent="0.45">
      <c r="A214">
        <f t="shared" si="24"/>
        <v>6</v>
      </c>
      <c r="D214" s="10">
        <v>46055</v>
      </c>
      <c r="E214" s="1" t="str">
        <f t="shared" si="25"/>
        <v>Monday</v>
      </c>
      <c r="F214" t="s">
        <v>16</v>
      </c>
      <c r="G214" s="2">
        <v>204.88</v>
      </c>
      <c r="H214" s="47">
        <f t="shared" si="32"/>
        <v>196.88</v>
      </c>
      <c r="I214" s="24">
        <v>7</v>
      </c>
      <c r="J214" s="2">
        <f t="shared" si="36"/>
        <v>1015</v>
      </c>
      <c r="K214" t="s">
        <v>18</v>
      </c>
      <c r="L214" s="6">
        <f t="shared" si="37"/>
        <v>28.125714285714285</v>
      </c>
      <c r="M214" s="24">
        <f>SUM(H$2:H214)</f>
        <v>44627.072499999995</v>
      </c>
      <c r="N214" s="24">
        <v>0</v>
      </c>
      <c r="P214" s="24">
        <v>0</v>
      </c>
      <c r="Q214" s="24">
        <v>0</v>
      </c>
      <c r="R214" t="s">
        <v>85</v>
      </c>
      <c r="S214" s="6">
        <f>VLOOKUP(Table1[[#This Row],[Route]],'Dropdown Lists'!$M$2:$N$7,2,FALSE)</f>
        <v>1.9</v>
      </c>
      <c r="T214" s="6"/>
      <c r="U214" s="51" t="s">
        <v>89</v>
      </c>
    </row>
    <row r="215" spans="1:21" x14ac:dyDescent="0.45">
      <c r="A215">
        <f t="shared" si="24"/>
        <v>6</v>
      </c>
      <c r="D215" s="10">
        <v>46055</v>
      </c>
      <c r="E215" s="1" t="str">
        <f t="shared" si="25"/>
        <v>Monday</v>
      </c>
      <c r="F215" t="s">
        <v>67</v>
      </c>
      <c r="G215" s="2">
        <f>183.14+152.72+101.44</f>
        <v>437.3</v>
      </c>
      <c r="H215" s="47">
        <f t="shared" si="32"/>
        <v>429.3</v>
      </c>
      <c r="I215" s="24">
        <v>7</v>
      </c>
      <c r="J215" s="2">
        <f t="shared" si="36"/>
        <v>1015</v>
      </c>
      <c r="K215" t="s">
        <v>18</v>
      </c>
      <c r="L215" s="6">
        <f t="shared" si="37"/>
        <v>61.328571428571429</v>
      </c>
      <c r="M215" s="24">
        <f>SUM(H$2:H215)</f>
        <v>45056.372499999998</v>
      </c>
      <c r="N215" s="24">
        <v>0</v>
      </c>
      <c r="P215" s="24">
        <v>0</v>
      </c>
      <c r="Q215" s="24">
        <v>0</v>
      </c>
      <c r="R215" t="s">
        <v>86</v>
      </c>
      <c r="S215" s="6">
        <f>VLOOKUP(Table1[[#This Row],[Route]],'Dropdown Lists'!$M$2:$N$7,2,FALSE)</f>
        <v>13.7</v>
      </c>
      <c r="T215" s="6"/>
      <c r="U215" s="51" t="s">
        <v>90</v>
      </c>
    </row>
    <row r="216" spans="1:21" x14ac:dyDescent="0.45">
      <c r="A216">
        <f t="shared" si="24"/>
        <v>6</v>
      </c>
      <c r="D216" s="10">
        <v>46057</v>
      </c>
      <c r="E216" s="1" t="str">
        <f t="shared" si="25"/>
        <v>Wednesday</v>
      </c>
      <c r="F216" t="s">
        <v>67</v>
      </c>
      <c r="G216" s="2">
        <v>54.92</v>
      </c>
      <c r="H216" s="47">
        <f t="shared" si="32"/>
        <v>46.92</v>
      </c>
      <c r="I216" s="24">
        <f t="shared" ref="I216" si="38">IF(D216-D215&lt;0, 0, D216-D215)</f>
        <v>2</v>
      </c>
      <c r="J216" s="2">
        <f t="shared" si="36"/>
        <v>1017</v>
      </c>
      <c r="K216" t="s">
        <v>17</v>
      </c>
      <c r="L216" s="6">
        <f t="shared" ref="L216:L222" si="39">H216/I216</f>
        <v>23.46</v>
      </c>
      <c r="M216" s="24">
        <f>SUM(H$2:H216)</f>
        <v>45103.292499999996</v>
      </c>
      <c r="N216" s="24">
        <v>0</v>
      </c>
      <c r="P216" s="24">
        <v>0</v>
      </c>
      <c r="Q216" s="24">
        <v>0</v>
      </c>
      <c r="S216" s="6">
        <f>6.1*2</f>
        <v>12.2</v>
      </c>
      <c r="T216" s="6"/>
      <c r="U216" s="51" t="s">
        <v>91</v>
      </c>
    </row>
    <row r="217" spans="1:21" x14ac:dyDescent="0.45">
      <c r="A217">
        <f t="shared" si="24"/>
        <v>7</v>
      </c>
      <c r="D217" s="10">
        <v>46062</v>
      </c>
      <c r="E217" s="1" t="str">
        <f t="shared" si="25"/>
        <v>Monday</v>
      </c>
      <c r="F217" t="s">
        <v>65</v>
      </c>
      <c r="G217" s="2">
        <f>155.88+92.28</f>
        <v>248.16</v>
      </c>
      <c r="H217" s="47">
        <f t="shared" ref="H217:H227" si="40">G217-8</f>
        <v>240.16</v>
      </c>
      <c r="I217" s="24">
        <v>7</v>
      </c>
      <c r="J217" s="2">
        <f t="shared" ref="J217:J218" si="41">D217-$D$2</f>
        <v>1022</v>
      </c>
      <c r="K217" t="s">
        <v>18</v>
      </c>
      <c r="L217" s="6">
        <f t="shared" si="39"/>
        <v>34.308571428571426</v>
      </c>
      <c r="M217" s="24">
        <f>SUM(H$2:H217)</f>
        <v>45343.452499999999</v>
      </c>
      <c r="N217" s="24">
        <v>0</v>
      </c>
      <c r="P217" s="24">
        <f>8.32</f>
        <v>8.32</v>
      </c>
      <c r="Q217" s="24">
        <v>0</v>
      </c>
      <c r="R217" t="s">
        <v>84</v>
      </c>
      <c r="S217" s="6">
        <f>VLOOKUP(Table1[[#This Row],[Route]],'Dropdown Lists'!$M$2:$N$7,2,FALSE)</f>
        <v>7.5</v>
      </c>
      <c r="T217" s="6"/>
      <c r="U217" s="51"/>
    </row>
    <row r="218" spans="1:21" x14ac:dyDescent="0.45">
      <c r="A218">
        <f t="shared" si="24"/>
        <v>7</v>
      </c>
      <c r="D218" s="10">
        <v>46062</v>
      </c>
      <c r="E218" s="1" t="str">
        <f t="shared" si="25"/>
        <v>Monday</v>
      </c>
      <c r="F218" t="s">
        <v>16</v>
      </c>
      <c r="G218" s="2">
        <f>131.44+187.22+190.2</f>
        <v>508.85999999999996</v>
      </c>
      <c r="H218" s="47">
        <f t="shared" si="40"/>
        <v>500.85999999999996</v>
      </c>
      <c r="I218" s="24">
        <v>7</v>
      </c>
      <c r="J218" s="2">
        <f t="shared" si="41"/>
        <v>1022</v>
      </c>
      <c r="K218" t="s">
        <v>18</v>
      </c>
      <c r="L218" s="6">
        <f t="shared" si="39"/>
        <v>71.551428571428559</v>
      </c>
      <c r="M218" s="24">
        <f>SUM(H$2:H218)</f>
        <v>45844.3125</v>
      </c>
      <c r="N218" s="24">
        <v>0</v>
      </c>
      <c r="P218" s="24">
        <f>3.74+17.44</f>
        <v>21.18</v>
      </c>
      <c r="Q218" s="24">
        <v>0</v>
      </c>
      <c r="R218" t="s">
        <v>80</v>
      </c>
      <c r="S218" s="6">
        <v>7.7</v>
      </c>
      <c r="T218" s="6"/>
      <c r="U218" s="51" t="s">
        <v>93</v>
      </c>
    </row>
    <row r="219" spans="1:21" x14ac:dyDescent="0.45">
      <c r="A219">
        <f t="shared" si="24"/>
        <v>7</v>
      </c>
      <c r="D219" s="10">
        <v>46062</v>
      </c>
      <c r="E219" s="1" t="str">
        <f t="shared" si="25"/>
        <v>Monday</v>
      </c>
      <c r="F219" t="s">
        <v>67</v>
      </c>
      <c r="G219" s="2">
        <f>220.4+92.72</f>
        <v>313.12</v>
      </c>
      <c r="H219" s="47">
        <f t="shared" si="40"/>
        <v>305.12</v>
      </c>
      <c r="I219" s="2">
        <v>5</v>
      </c>
      <c r="J219" s="2">
        <f t="shared" ref="J219:J224" si="42">D219-$D$2</f>
        <v>1022</v>
      </c>
      <c r="K219" t="s">
        <v>18</v>
      </c>
      <c r="L219" s="6">
        <f t="shared" si="39"/>
        <v>61.024000000000001</v>
      </c>
      <c r="M219" s="24">
        <f>SUM(H$2:H219)</f>
        <v>46149.432500000003</v>
      </c>
      <c r="N219" s="24">
        <v>0</v>
      </c>
      <c r="P219" s="24">
        <v>0</v>
      </c>
      <c r="Q219" s="24">
        <v>0</v>
      </c>
      <c r="S219" s="6">
        <f>7.5*2</f>
        <v>15</v>
      </c>
      <c r="T219" s="6"/>
      <c r="U219" s="51"/>
    </row>
    <row r="220" spans="1:21" x14ac:dyDescent="0.45">
      <c r="A220">
        <f t="shared" si="24"/>
        <v>8</v>
      </c>
      <c r="D220" s="10">
        <v>46069</v>
      </c>
      <c r="E220" s="1" t="str">
        <f t="shared" si="25"/>
        <v>Monday</v>
      </c>
      <c r="F220" t="s">
        <v>65</v>
      </c>
      <c r="G220" s="2">
        <v>186.6</v>
      </c>
      <c r="H220" s="47">
        <f t="shared" si="40"/>
        <v>178.6</v>
      </c>
      <c r="I220" s="24">
        <v>7</v>
      </c>
      <c r="J220" s="2">
        <f>D220-$D$2</f>
        <v>1029</v>
      </c>
      <c r="K220" t="s">
        <v>18</v>
      </c>
      <c r="L220" s="6">
        <f t="shared" si="39"/>
        <v>25.514285714285712</v>
      </c>
      <c r="M220" s="24">
        <f>SUM(H$2:H220)</f>
        <v>46328.032500000001</v>
      </c>
      <c r="N220" s="24">
        <v>0</v>
      </c>
      <c r="P220" s="24">
        <v>0</v>
      </c>
      <c r="Q220" s="24">
        <v>0</v>
      </c>
      <c r="R220" t="s">
        <v>84</v>
      </c>
      <c r="S220" s="6">
        <f>VLOOKUP(Table1[[#This Row],[Route]],'Dropdown Lists'!$M$2:$N$7,2,FALSE)</f>
        <v>7.5</v>
      </c>
      <c r="T220" s="6"/>
      <c r="U220" s="51"/>
    </row>
    <row r="221" spans="1:21" x14ac:dyDescent="0.45">
      <c r="A221">
        <f t="shared" si="24"/>
        <v>8</v>
      </c>
      <c r="D221" s="10">
        <v>46069</v>
      </c>
      <c r="E221" s="1" t="str">
        <f t="shared" si="25"/>
        <v>Monday</v>
      </c>
      <c r="F221" t="s">
        <v>16</v>
      </c>
      <c r="G221" s="2">
        <f>176.96+196.6</f>
        <v>373.56</v>
      </c>
      <c r="H221" s="47">
        <f t="shared" si="40"/>
        <v>365.56</v>
      </c>
      <c r="I221" s="24">
        <v>7</v>
      </c>
      <c r="J221" s="2">
        <f>D221-$D$2</f>
        <v>1029</v>
      </c>
      <c r="K221" t="s">
        <v>18</v>
      </c>
      <c r="L221" s="6">
        <f t="shared" si="39"/>
        <v>52.222857142857144</v>
      </c>
      <c r="M221" s="24">
        <f>SUM(H$2:H221)</f>
        <v>46693.592499999999</v>
      </c>
      <c r="N221" s="24">
        <v>0</v>
      </c>
      <c r="P221" s="24">
        <v>2.1800000000000002</v>
      </c>
      <c r="Q221" s="24">
        <v>0</v>
      </c>
      <c r="R221" t="s">
        <v>85</v>
      </c>
      <c r="S221" s="6">
        <f>VLOOKUP(Table1[[#This Row],[Route]],'Dropdown Lists'!$M$2:$N$7,2,FALSE)</f>
        <v>1.9</v>
      </c>
      <c r="T221" s="6"/>
      <c r="U221" s="51"/>
    </row>
    <row r="222" spans="1:21" x14ac:dyDescent="0.45">
      <c r="A222">
        <f t="shared" si="24"/>
        <v>8</v>
      </c>
      <c r="D222" s="10">
        <v>46069</v>
      </c>
      <c r="E222" s="1" t="str">
        <f t="shared" si="25"/>
        <v>Monday</v>
      </c>
      <c r="F222" t="s">
        <v>67</v>
      </c>
      <c r="G222" s="2">
        <f>183.44+178.08+135.74</f>
        <v>497.26</v>
      </c>
      <c r="H222" s="47">
        <f t="shared" si="40"/>
        <v>489.26</v>
      </c>
      <c r="I222" s="24">
        <v>7</v>
      </c>
      <c r="J222" s="2">
        <f t="shared" si="42"/>
        <v>1029</v>
      </c>
      <c r="K222" t="s">
        <v>18</v>
      </c>
      <c r="L222" s="6">
        <f t="shared" si="39"/>
        <v>69.894285714285715</v>
      </c>
      <c r="M222" s="24">
        <f>SUM(H$2:H222)</f>
        <v>47182.852500000001</v>
      </c>
      <c r="N222" s="24">
        <v>0</v>
      </c>
      <c r="P222" s="24">
        <v>0</v>
      </c>
      <c r="Q222" s="24">
        <v>0</v>
      </c>
      <c r="R222" t="s">
        <v>86</v>
      </c>
      <c r="S222" s="6">
        <f>VLOOKUP(Table1[[#This Row],[Route]],'Dropdown Lists'!$M$2:$N$7,2,FALSE)</f>
        <v>13.7</v>
      </c>
      <c r="T222" s="6"/>
      <c r="U222" s="51"/>
    </row>
    <row r="223" spans="1:21" x14ac:dyDescent="0.45">
      <c r="A223">
        <f t="shared" si="24"/>
        <v>9</v>
      </c>
      <c r="D223" s="10">
        <v>46076</v>
      </c>
      <c r="E223" s="1" t="str">
        <f t="shared" si="25"/>
        <v>Monday</v>
      </c>
      <c r="F223" t="s">
        <v>65</v>
      </c>
      <c r="G223" s="2">
        <f>97.8+196.38</f>
        <v>294.18</v>
      </c>
      <c r="H223" s="47">
        <f t="shared" si="40"/>
        <v>286.18</v>
      </c>
      <c r="I223" s="24">
        <v>7</v>
      </c>
      <c r="J223" s="2">
        <f t="shared" si="42"/>
        <v>1036</v>
      </c>
      <c r="K223" t="s">
        <v>18</v>
      </c>
      <c r="L223" s="6">
        <f>H223/I223</f>
        <v>40.882857142857141</v>
      </c>
      <c r="M223" s="24">
        <f>SUM(H$2:H223)</f>
        <v>47469.032500000001</v>
      </c>
      <c r="N223" s="24">
        <v>0</v>
      </c>
      <c r="P223" s="24">
        <v>0</v>
      </c>
      <c r="Q223" s="24">
        <v>0</v>
      </c>
      <c r="R223" t="s">
        <v>84</v>
      </c>
      <c r="S223" s="6">
        <f>VLOOKUP(Table1[[#This Row],[Route]],'Dropdown Lists'!$M$2:$N$7,2,FALSE)</f>
        <v>7.5</v>
      </c>
      <c r="T223" s="6"/>
      <c r="U223" s="51"/>
    </row>
    <row r="224" spans="1:21" x14ac:dyDescent="0.45">
      <c r="A224">
        <f t="shared" si="24"/>
        <v>9</v>
      </c>
      <c r="D224" s="10">
        <v>46076</v>
      </c>
      <c r="E224" s="1" t="str">
        <f t="shared" si="25"/>
        <v>Monday</v>
      </c>
      <c r="F224" t="s">
        <v>16</v>
      </c>
      <c r="G224" s="2">
        <f>215.7+206.66</f>
        <v>422.36</v>
      </c>
      <c r="H224" s="47">
        <f t="shared" si="40"/>
        <v>414.36</v>
      </c>
      <c r="I224" s="24">
        <v>7</v>
      </c>
      <c r="J224" s="2">
        <f t="shared" si="42"/>
        <v>1036</v>
      </c>
      <c r="K224" t="s">
        <v>18</v>
      </c>
      <c r="L224" s="6">
        <f>H224/I224</f>
        <v>59.194285714285719</v>
      </c>
      <c r="M224" s="24">
        <f>SUM(H$2:H224)</f>
        <v>47883.392500000002</v>
      </c>
      <c r="N224" s="24">
        <v>0</v>
      </c>
      <c r="P224" s="24">
        <v>17.8</v>
      </c>
      <c r="Q224" s="24">
        <v>0</v>
      </c>
      <c r="R224" t="s">
        <v>85</v>
      </c>
      <c r="S224" s="6">
        <f>VLOOKUP(Table1[[#This Row],[Route]],'Dropdown Lists'!$M$2:$N$7,2,FALSE)</f>
        <v>1.9</v>
      </c>
      <c r="T224" s="6"/>
      <c r="U224" s="51" t="s">
        <v>98</v>
      </c>
    </row>
    <row r="225" spans="1:21" x14ac:dyDescent="0.45">
      <c r="A225">
        <f t="shared" si="24"/>
        <v>9</v>
      </c>
      <c r="D225" s="10">
        <v>46076</v>
      </c>
      <c r="E225" s="1" t="str">
        <f t="shared" si="25"/>
        <v>Monday</v>
      </c>
      <c r="F225" t="s">
        <v>67</v>
      </c>
      <c r="G225" s="2">
        <f>241.52+230.2</f>
        <v>471.72</v>
      </c>
      <c r="H225" s="47">
        <f t="shared" si="40"/>
        <v>463.72</v>
      </c>
      <c r="I225" s="24">
        <v>7</v>
      </c>
      <c r="J225" s="2">
        <f>D225-$D$2</f>
        <v>1036</v>
      </c>
      <c r="K225" t="s">
        <v>18</v>
      </c>
      <c r="L225" s="6">
        <f>H225/I225</f>
        <v>66.245714285714286</v>
      </c>
      <c r="M225" s="24">
        <f>SUM(H$2:H225)</f>
        <v>48347.112500000003</v>
      </c>
      <c r="N225" s="24">
        <v>0</v>
      </c>
      <c r="P225" s="24">
        <v>0</v>
      </c>
      <c r="Q225" s="24">
        <v>0</v>
      </c>
      <c r="R225" t="s">
        <v>86</v>
      </c>
      <c r="S225" s="6">
        <f>VLOOKUP(Table1[[#This Row],[Route]],'Dropdown Lists'!$M$2:$N$7,2,FALSE)</f>
        <v>13.7</v>
      </c>
      <c r="T225" s="6"/>
      <c r="U225" s="51" t="s">
        <v>99</v>
      </c>
    </row>
    <row r="226" spans="1:21" x14ac:dyDescent="0.45">
      <c r="A226">
        <f t="shared" si="24"/>
        <v>9</v>
      </c>
      <c r="D226" s="10">
        <v>46081</v>
      </c>
      <c r="E226" s="1" t="str">
        <f t="shared" si="25"/>
        <v>Saturday</v>
      </c>
      <c r="F226" t="s">
        <v>16</v>
      </c>
      <c r="G226" s="2">
        <f>153.52+207.66</f>
        <v>361.18</v>
      </c>
      <c r="H226" s="47">
        <f t="shared" si="40"/>
        <v>353.18</v>
      </c>
      <c r="I226" s="24">
        <f>IF(Table1[[#This Row],[Date]]-D225&lt;0, 0, Table1[[#This Row],[Date]]-D225)</f>
        <v>5</v>
      </c>
      <c r="J226" s="2">
        <f t="shared" ref="J226:J227" si="43">D226-$D$2</f>
        <v>1041</v>
      </c>
      <c r="K226" t="s">
        <v>5</v>
      </c>
      <c r="L226" s="6">
        <f>H226/I226</f>
        <v>70.635999999999996</v>
      </c>
      <c r="M226" s="24">
        <f>SUM(H$2:H226)</f>
        <v>48700.292500000003</v>
      </c>
      <c r="N226" s="24">
        <v>0</v>
      </c>
      <c r="P226" s="24">
        <v>9.2200000000000006</v>
      </c>
      <c r="Q226" s="24">
        <v>0</v>
      </c>
      <c r="R226" t="s">
        <v>80</v>
      </c>
      <c r="S226" s="6">
        <f>VLOOKUP(Table1[[#This Row],[Route]],'Dropdown Lists'!$M$2:$N$7,2,FALSE)</f>
        <v>11.4</v>
      </c>
      <c r="T226" s="6"/>
      <c r="U226" s="51" t="s">
        <v>100</v>
      </c>
    </row>
    <row r="227" spans="1:21" x14ac:dyDescent="0.45">
      <c r="A227">
        <f t="shared" si="24"/>
        <v>9</v>
      </c>
      <c r="D227" s="10">
        <v>46081</v>
      </c>
      <c r="E227" s="1" t="str">
        <f t="shared" si="25"/>
        <v>Saturday</v>
      </c>
      <c r="F227" t="s">
        <v>67</v>
      </c>
      <c r="G227" s="2">
        <f>153.28+205.14</f>
        <v>358.41999999999996</v>
      </c>
      <c r="H227" s="47">
        <f t="shared" si="40"/>
        <v>350.41999999999996</v>
      </c>
      <c r="I227" s="24">
        <v>5</v>
      </c>
      <c r="J227" s="2">
        <f t="shared" si="43"/>
        <v>1041</v>
      </c>
      <c r="K227" t="s">
        <v>17</v>
      </c>
      <c r="L227" s="6">
        <f t="shared" ref="L227" si="44">H227/I227</f>
        <v>70.083999999999989</v>
      </c>
      <c r="M227" s="24">
        <f>SUM(H$2:H227)</f>
        <v>49050.712500000001</v>
      </c>
      <c r="N227" s="24">
        <v>0</v>
      </c>
      <c r="P227" s="24">
        <v>0</v>
      </c>
      <c r="Q227" s="24">
        <v>0</v>
      </c>
      <c r="R227" t="s">
        <v>86</v>
      </c>
      <c r="S227" s="6">
        <f>VLOOKUP(Table1[[#This Row],[Route]],'Dropdown Lists'!$M$2:$N$7,2,FALSE)</f>
        <v>13.7</v>
      </c>
      <c r="T227" s="6"/>
      <c r="U227" s="51"/>
    </row>
    <row r="228" spans="1:21" x14ac:dyDescent="0.45">
      <c r="A228">
        <f t="shared" si="24"/>
        <v>10</v>
      </c>
      <c r="D228" s="10">
        <v>46083</v>
      </c>
      <c r="E228" s="1" t="str">
        <f t="shared" si="25"/>
        <v>Monday</v>
      </c>
      <c r="F228" t="s">
        <v>65</v>
      </c>
      <c r="G228" s="2">
        <f>71.16+197.52</f>
        <v>268.68</v>
      </c>
      <c r="H228" s="47">
        <f t="shared" ref="H228:H231" si="45">G228-8</f>
        <v>260.68</v>
      </c>
      <c r="I228" s="24">
        <f>IF(Table1[[#This Row],[Date]]-D223&lt;0, 0, Table1[[#This Row],[Date]]-D223)</f>
        <v>7</v>
      </c>
      <c r="J228" s="2">
        <f>D228-$D$2</f>
        <v>1043</v>
      </c>
      <c r="K228" t="s">
        <v>18</v>
      </c>
      <c r="L228" s="6">
        <f t="shared" ref="L228" si="46">H228/I228</f>
        <v>37.24</v>
      </c>
      <c r="M228" s="24">
        <f>SUM(H$2:H298)</f>
        <v>70597.252499999988</v>
      </c>
      <c r="N228" s="24">
        <v>0</v>
      </c>
      <c r="P228" s="24">
        <v>0</v>
      </c>
      <c r="Q228" s="24">
        <v>0</v>
      </c>
      <c r="R228" t="s">
        <v>84</v>
      </c>
      <c r="S228" s="6">
        <f>VLOOKUP(Table1[[#This Row],[Route]],'Dropdown Lists'!$M$2:$N$7,2,FALSE)</f>
        <v>7.5</v>
      </c>
      <c r="T228" s="6"/>
      <c r="U228" s="51"/>
    </row>
    <row r="229" spans="1:21" x14ac:dyDescent="0.45">
      <c r="A229">
        <f t="shared" si="24"/>
        <v>11</v>
      </c>
      <c r="D229" s="10">
        <v>46090</v>
      </c>
      <c r="E229" s="1" t="str">
        <f t="shared" si="25"/>
        <v>Monday</v>
      </c>
      <c r="F229" t="s">
        <v>65</v>
      </c>
      <c r="G229" s="2">
        <f>101.54+109.95</f>
        <v>211.49</v>
      </c>
      <c r="H229" s="47">
        <f t="shared" si="45"/>
        <v>203.49</v>
      </c>
      <c r="I229" s="24">
        <f>IF(Table1[[#This Row],[Date]]-D228&lt;0, 0, Table1[[#This Row],[Date]]-D228)</f>
        <v>7</v>
      </c>
      <c r="J229" s="2">
        <f t="shared" ref="J229:J240" si="47">D229-$D$2</f>
        <v>1050</v>
      </c>
      <c r="K229" t="s">
        <v>18</v>
      </c>
      <c r="L229" s="6">
        <f t="shared" ref="L229:L240" si="48">H229/I229</f>
        <v>29.07</v>
      </c>
      <c r="M229" s="24">
        <f>SUM(H$2:H229)</f>
        <v>49514.8825</v>
      </c>
      <c r="N229" s="24">
        <v>0</v>
      </c>
      <c r="P229" s="24">
        <v>0</v>
      </c>
      <c r="Q229" s="24">
        <v>0</v>
      </c>
      <c r="R229" t="s">
        <v>84</v>
      </c>
      <c r="S229" s="6">
        <f>VLOOKUP(Table1[[#This Row],[Route]],'Dropdown Lists'!$M$2:$N$7,2,FALSE)</f>
        <v>7.5</v>
      </c>
      <c r="T229" s="6"/>
      <c r="U229" s="51"/>
    </row>
    <row r="230" spans="1:21" x14ac:dyDescent="0.45">
      <c r="A230">
        <f t="shared" si="24"/>
        <v>11</v>
      </c>
      <c r="D230" s="10">
        <v>46090</v>
      </c>
      <c r="E230" s="1" t="str">
        <f t="shared" si="25"/>
        <v>Monday</v>
      </c>
      <c r="F230" t="s">
        <v>67</v>
      </c>
      <c r="G230" s="2">
        <f>166.36+220.76+140.36</f>
        <v>527.48</v>
      </c>
      <c r="H230" s="47">
        <f t="shared" si="45"/>
        <v>519.48</v>
      </c>
      <c r="I230" s="24">
        <f>IF(Table1[[#This Row],[Date]]-D227&lt;0, 0, Table1[[#This Row],[Date]]-D227)</f>
        <v>9</v>
      </c>
      <c r="J230" s="2">
        <f t="shared" si="47"/>
        <v>1050</v>
      </c>
      <c r="K230" t="s">
        <v>18</v>
      </c>
      <c r="L230" s="6">
        <f t="shared" si="48"/>
        <v>57.72</v>
      </c>
      <c r="M230" s="24">
        <f>SUM(H$2:H230)</f>
        <v>50034.362500000003</v>
      </c>
      <c r="N230" s="24">
        <v>0</v>
      </c>
      <c r="P230" s="24">
        <v>0</v>
      </c>
      <c r="Q230" s="24">
        <v>0</v>
      </c>
      <c r="R230" t="s">
        <v>86</v>
      </c>
      <c r="S230" s="6">
        <f>VLOOKUP(Table1[[#This Row],[Route]],'Dropdown Lists'!$M$2:$N$7,2,FALSE)</f>
        <v>13.7</v>
      </c>
      <c r="T230" s="6"/>
      <c r="U230" s="51"/>
    </row>
    <row r="231" spans="1:21" x14ac:dyDescent="0.45">
      <c r="A231">
        <f t="shared" si="24"/>
        <v>11</v>
      </c>
      <c r="D231" s="10">
        <v>46090</v>
      </c>
      <c r="E231" s="1" t="str">
        <f t="shared" si="25"/>
        <v>Monday</v>
      </c>
      <c r="F231" t="s">
        <v>16</v>
      </c>
      <c r="G231" s="2">
        <f>119.42+170.46+167.62</f>
        <v>457.5</v>
      </c>
      <c r="H231" s="47">
        <f t="shared" si="45"/>
        <v>449.5</v>
      </c>
      <c r="I231" s="2">
        <v>9</v>
      </c>
      <c r="J231" s="2">
        <f t="shared" si="47"/>
        <v>1050</v>
      </c>
      <c r="K231" t="s">
        <v>18</v>
      </c>
      <c r="L231" s="6">
        <f t="shared" si="48"/>
        <v>49.944444444444443</v>
      </c>
      <c r="M231" s="24">
        <f>SUM(H$2:H231)</f>
        <v>50483.862500000003</v>
      </c>
      <c r="N231" s="24">
        <v>0</v>
      </c>
      <c r="P231" s="24">
        <v>0</v>
      </c>
      <c r="Q231" s="24">
        <v>0</v>
      </c>
      <c r="R231" t="s">
        <v>80</v>
      </c>
      <c r="S231" s="6">
        <f>VLOOKUP(Table1[[#This Row],[Route]],'Dropdown Lists'!$M$2:$N$7,2,FALSE)</f>
        <v>11.4</v>
      </c>
      <c r="T231" s="6"/>
      <c r="U231" s="51"/>
    </row>
    <row r="232" spans="1:21" x14ac:dyDescent="0.45">
      <c r="A232">
        <f t="shared" si="24"/>
        <v>12</v>
      </c>
      <c r="D232" s="10">
        <v>46097</v>
      </c>
      <c r="E232" s="1" t="str">
        <f t="shared" si="25"/>
        <v>Monday</v>
      </c>
      <c r="F232" t="s">
        <v>16</v>
      </c>
      <c r="G232" s="2">
        <f>207.04+88.34</f>
        <v>295.38</v>
      </c>
      <c r="H232" s="47">
        <f t="shared" ref="H232:H255" si="49">G232-8</f>
        <v>287.38</v>
      </c>
      <c r="I232" s="2">
        <v>7</v>
      </c>
      <c r="J232" s="2">
        <f t="shared" si="47"/>
        <v>1057</v>
      </c>
      <c r="K232" t="s">
        <v>18</v>
      </c>
      <c r="L232" s="6">
        <f t="shared" si="48"/>
        <v>41.054285714285712</v>
      </c>
      <c r="M232" s="24">
        <f>SUM(H$2:H232)</f>
        <v>50771.2425</v>
      </c>
      <c r="N232" s="24">
        <f>88.34-8</f>
        <v>80.34</v>
      </c>
      <c r="O232" s="56">
        <v>46099</v>
      </c>
      <c r="P232" s="24">
        <v>2</v>
      </c>
      <c r="Q232" s="24">
        <v>0</v>
      </c>
      <c r="R232" t="s">
        <v>80</v>
      </c>
      <c r="S232" s="6">
        <v>5.9</v>
      </c>
      <c r="T232" s="6"/>
      <c r="U232" s="51"/>
    </row>
    <row r="233" spans="1:21" x14ac:dyDescent="0.45">
      <c r="A233">
        <f t="shared" si="24"/>
        <v>12</v>
      </c>
      <c r="D233" s="10">
        <v>46097</v>
      </c>
      <c r="E233" s="1" t="str">
        <f t="shared" si="25"/>
        <v>Monday</v>
      </c>
      <c r="F233" t="s">
        <v>67</v>
      </c>
      <c r="G233" s="2">
        <f>185.42+127.64</f>
        <v>313.06</v>
      </c>
      <c r="H233" s="47">
        <f t="shared" si="49"/>
        <v>305.06</v>
      </c>
      <c r="I233" s="2">
        <v>7</v>
      </c>
      <c r="J233" s="2">
        <f t="shared" si="47"/>
        <v>1057</v>
      </c>
      <c r="K233" t="s">
        <v>18</v>
      </c>
      <c r="L233" s="6">
        <f t="shared" si="48"/>
        <v>43.58</v>
      </c>
      <c r="M233" s="24">
        <f>SUM(H$2:H233)</f>
        <v>51076.302499999998</v>
      </c>
      <c r="N233" s="24">
        <v>0</v>
      </c>
      <c r="P233" s="24">
        <v>0</v>
      </c>
      <c r="Q233" s="24">
        <v>0</v>
      </c>
      <c r="R233" t="s">
        <v>101</v>
      </c>
      <c r="S233" s="6">
        <v>2.4</v>
      </c>
      <c r="T233" s="6"/>
      <c r="U233" s="51"/>
    </row>
    <row r="234" spans="1:21" x14ac:dyDescent="0.45">
      <c r="A234">
        <f t="shared" si="24"/>
        <v>12</v>
      </c>
      <c r="D234" s="10">
        <v>46097</v>
      </c>
      <c r="E234" s="1" t="str">
        <f t="shared" si="25"/>
        <v>Monday</v>
      </c>
      <c r="F234" t="s">
        <v>65</v>
      </c>
      <c r="G234" s="2">
        <f>144.82+110</f>
        <v>254.82</v>
      </c>
      <c r="H234" s="47">
        <f t="shared" si="49"/>
        <v>246.82</v>
      </c>
      <c r="I234" s="2">
        <v>7</v>
      </c>
      <c r="J234" s="2">
        <f t="shared" si="47"/>
        <v>1057</v>
      </c>
      <c r="K234" t="s">
        <v>18</v>
      </c>
      <c r="L234" s="6">
        <f t="shared" si="48"/>
        <v>35.26</v>
      </c>
      <c r="M234" s="24">
        <f>SUM(H$2:H234)</f>
        <v>51323.122499999998</v>
      </c>
      <c r="N234" s="24">
        <f>110-8</f>
        <v>102</v>
      </c>
      <c r="O234" s="56">
        <v>46099</v>
      </c>
      <c r="P234" s="24">
        <v>0</v>
      </c>
      <c r="Q234" s="24">
        <v>0</v>
      </c>
      <c r="R234" t="s">
        <v>102</v>
      </c>
      <c r="S234" s="6">
        <v>10.8</v>
      </c>
      <c r="T234" s="6"/>
      <c r="U234" s="51"/>
    </row>
    <row r="235" spans="1:21" x14ac:dyDescent="0.45">
      <c r="A235">
        <f t="shared" si="24"/>
        <v>13</v>
      </c>
      <c r="D235" s="10">
        <v>46103</v>
      </c>
      <c r="E235" s="1" t="str">
        <f t="shared" si="25"/>
        <v>Sunday</v>
      </c>
      <c r="F235" t="s">
        <v>16</v>
      </c>
      <c r="G235" s="2">
        <f>127.98+89.06+160.38</f>
        <v>377.42</v>
      </c>
      <c r="H235" s="47">
        <f t="shared" si="49"/>
        <v>369.42</v>
      </c>
      <c r="I235" s="2">
        <v>6</v>
      </c>
      <c r="J235" s="2">
        <f t="shared" si="47"/>
        <v>1063</v>
      </c>
      <c r="K235" t="s">
        <v>5</v>
      </c>
      <c r="L235" s="6">
        <f t="shared" si="48"/>
        <v>61.57</v>
      </c>
      <c r="M235" s="24">
        <f>SUM(H$2:H298)</f>
        <v>70597.252499999988</v>
      </c>
      <c r="N235" s="24">
        <v>0</v>
      </c>
      <c r="P235" s="24">
        <v>0</v>
      </c>
      <c r="Q235" s="24">
        <v>0</v>
      </c>
      <c r="R235" t="s">
        <v>80</v>
      </c>
      <c r="S235" s="6">
        <f>VLOOKUP(Table1[[#This Row],[Route]],'Dropdown Lists'!$M$2:$N$7,2,FALSE)</f>
        <v>11.4</v>
      </c>
      <c r="T235" s="6"/>
      <c r="U235" s="51"/>
    </row>
    <row r="236" spans="1:21" x14ac:dyDescent="0.45">
      <c r="A236">
        <f t="shared" si="24"/>
        <v>13</v>
      </c>
      <c r="D236" s="10">
        <v>46104</v>
      </c>
      <c r="E236" s="1" t="str">
        <f t="shared" si="25"/>
        <v>Monday</v>
      </c>
      <c r="F236" t="s">
        <v>65</v>
      </c>
      <c r="G236" s="2">
        <f>142.22+85.4</f>
        <v>227.62</v>
      </c>
      <c r="H236" s="47">
        <f t="shared" si="49"/>
        <v>219.62</v>
      </c>
      <c r="I236" s="2">
        <v>7</v>
      </c>
      <c r="J236" s="2">
        <f t="shared" si="47"/>
        <v>1064</v>
      </c>
      <c r="K236" t="s">
        <v>18</v>
      </c>
      <c r="L236" s="6">
        <f t="shared" si="48"/>
        <v>31.374285714285715</v>
      </c>
      <c r="M236" s="24">
        <f>SUM(H$2:H236)</f>
        <v>51912.162499999999</v>
      </c>
      <c r="N236" s="24">
        <v>0</v>
      </c>
      <c r="P236" s="24">
        <v>0</v>
      </c>
      <c r="Q236" s="24">
        <v>0</v>
      </c>
      <c r="R236" t="s">
        <v>84</v>
      </c>
      <c r="S236" s="6">
        <f>VLOOKUP(Table1[[#This Row],[Route]],'Dropdown Lists'!$M$2:$N$7,2,FALSE)</f>
        <v>7.5</v>
      </c>
      <c r="T236" s="6"/>
      <c r="U236" s="51"/>
    </row>
    <row r="237" spans="1:21" x14ac:dyDescent="0.45">
      <c r="A237">
        <f t="shared" si="24"/>
        <v>13</v>
      </c>
      <c r="D237" s="10">
        <v>46104</v>
      </c>
      <c r="E237" s="1" t="str">
        <f t="shared" si="25"/>
        <v>Monday</v>
      </c>
      <c r="F237" t="s">
        <v>67</v>
      </c>
      <c r="G237" s="2">
        <f>101.7+152.28+152.32</f>
        <v>406.3</v>
      </c>
      <c r="H237" s="47">
        <f t="shared" si="49"/>
        <v>398.3</v>
      </c>
      <c r="I237" s="2">
        <v>7</v>
      </c>
      <c r="J237" s="2">
        <f t="shared" si="47"/>
        <v>1064</v>
      </c>
      <c r="K237" t="s">
        <v>18</v>
      </c>
      <c r="L237" s="6">
        <f t="shared" si="48"/>
        <v>56.9</v>
      </c>
      <c r="M237" s="24">
        <f>SUM(H$2:H237)</f>
        <v>52310.462500000001</v>
      </c>
      <c r="N237" s="24">
        <v>0</v>
      </c>
      <c r="P237" s="24">
        <v>0</v>
      </c>
      <c r="Q237" s="24">
        <v>0</v>
      </c>
      <c r="R237" t="s">
        <v>103</v>
      </c>
      <c r="S237" s="6">
        <v>10.6</v>
      </c>
      <c r="T237" s="6"/>
      <c r="U237" s="51"/>
    </row>
    <row r="238" spans="1:21" x14ac:dyDescent="0.45">
      <c r="A238">
        <f t="shared" si="24"/>
        <v>14</v>
      </c>
      <c r="D238" s="10">
        <v>46111</v>
      </c>
      <c r="E238" s="1" t="str">
        <f t="shared" si="25"/>
        <v>Monday</v>
      </c>
      <c r="F238" t="s">
        <v>65</v>
      </c>
      <c r="G238" s="2">
        <f>108.54+138.86</f>
        <v>247.40000000000003</v>
      </c>
      <c r="H238" s="47">
        <f t="shared" si="49"/>
        <v>239.40000000000003</v>
      </c>
      <c r="I238" s="2">
        <v>7</v>
      </c>
      <c r="J238" s="2">
        <f t="shared" si="47"/>
        <v>1071</v>
      </c>
      <c r="K238" t="s">
        <v>18</v>
      </c>
      <c r="L238" s="6">
        <f t="shared" si="48"/>
        <v>34.200000000000003</v>
      </c>
      <c r="M238" s="24">
        <f>SUM(H$2:H238)</f>
        <v>52549.862500000003</v>
      </c>
      <c r="N238" s="24">
        <v>0</v>
      </c>
      <c r="P238" s="24">
        <v>0</v>
      </c>
      <c r="Q238" s="24">
        <v>0</v>
      </c>
      <c r="R238" t="s">
        <v>84</v>
      </c>
      <c r="S238" s="6">
        <f>VLOOKUP(Table1[[#This Row],[Route]],'Dropdown Lists'!$M$2:$N$7,2,FALSE)</f>
        <v>7.5</v>
      </c>
      <c r="T238" s="6"/>
      <c r="U238" s="51"/>
    </row>
    <row r="239" spans="1:21" x14ac:dyDescent="0.45">
      <c r="A239">
        <f t="shared" si="24"/>
        <v>14</v>
      </c>
      <c r="D239" s="10">
        <v>46111</v>
      </c>
      <c r="E239" s="1" t="str">
        <f t="shared" si="25"/>
        <v>Monday</v>
      </c>
      <c r="F239" t="s">
        <v>16</v>
      </c>
      <c r="G239" s="2">
        <f>185.6+202.56+206.92</f>
        <v>595.07999999999993</v>
      </c>
      <c r="H239" s="47">
        <f t="shared" si="49"/>
        <v>587.07999999999993</v>
      </c>
      <c r="I239" s="2">
        <v>7</v>
      </c>
      <c r="J239" s="2">
        <f t="shared" si="47"/>
        <v>1071</v>
      </c>
      <c r="K239" t="s">
        <v>18</v>
      </c>
      <c r="L239" s="6">
        <f t="shared" si="48"/>
        <v>83.868571428571414</v>
      </c>
      <c r="M239" s="24">
        <f>SUM(H$2:H239)</f>
        <v>53136.942500000005</v>
      </c>
      <c r="N239" s="24">
        <v>0</v>
      </c>
      <c r="P239" s="24">
        <v>0</v>
      </c>
      <c r="Q239" s="24">
        <v>0</v>
      </c>
      <c r="R239" t="s">
        <v>104</v>
      </c>
      <c r="S239" s="6">
        <v>7.7</v>
      </c>
      <c r="T239" s="6"/>
      <c r="U239" s="51"/>
    </row>
    <row r="240" spans="1:21" x14ac:dyDescent="0.45">
      <c r="A240">
        <f t="shared" si="24"/>
        <v>14</v>
      </c>
      <c r="D240" s="10">
        <v>46111</v>
      </c>
      <c r="E240" s="1" t="str">
        <f t="shared" si="25"/>
        <v>Monday</v>
      </c>
      <c r="F240" t="s">
        <v>67</v>
      </c>
      <c r="G240" s="2">
        <f>63.78+164.98+151.9</f>
        <v>380.65999999999997</v>
      </c>
      <c r="H240" s="47">
        <f t="shared" si="49"/>
        <v>372.65999999999997</v>
      </c>
      <c r="I240" s="2">
        <v>7</v>
      </c>
      <c r="J240" s="2">
        <f t="shared" si="47"/>
        <v>1071</v>
      </c>
      <c r="K240" t="s">
        <v>18</v>
      </c>
      <c r="L240" s="6">
        <f t="shared" si="48"/>
        <v>53.23714285714285</v>
      </c>
      <c r="M240" s="24">
        <f>SUM(H$2:H240)</f>
        <v>53509.602500000008</v>
      </c>
      <c r="N240" s="24">
        <v>0</v>
      </c>
      <c r="P240" s="24">
        <v>0</v>
      </c>
      <c r="Q240" s="24">
        <v>0</v>
      </c>
      <c r="R240" t="s">
        <v>105</v>
      </c>
      <c r="S240" s="6">
        <v>14.5</v>
      </c>
      <c r="T240" s="6"/>
      <c r="U240" s="51"/>
    </row>
    <row r="241" spans="1:21" x14ac:dyDescent="0.45">
      <c r="A241">
        <f t="shared" si="24"/>
        <v>15</v>
      </c>
      <c r="D241" s="10">
        <v>46118</v>
      </c>
      <c r="E241" s="1" t="str">
        <f t="shared" si="25"/>
        <v>Monday</v>
      </c>
      <c r="F241" t="s">
        <v>65</v>
      </c>
      <c r="G241" s="2">
        <f>133.92+110.64</f>
        <v>244.56</v>
      </c>
      <c r="H241" s="47">
        <f t="shared" si="49"/>
        <v>236.56</v>
      </c>
      <c r="I241" s="2">
        <v>7</v>
      </c>
      <c r="J241" s="2">
        <f t="shared" ref="J241:J242" si="50">D241-$D$2</f>
        <v>1078</v>
      </c>
      <c r="K241" t="s">
        <v>18</v>
      </c>
      <c r="L241" s="6">
        <f t="shared" ref="L241:L242" si="51">H241/I241</f>
        <v>33.794285714285714</v>
      </c>
      <c r="M241" s="24">
        <f>SUM(H$2:H241)</f>
        <v>53746.162500000006</v>
      </c>
      <c r="N241" s="24">
        <v>0</v>
      </c>
      <c r="P241" s="24">
        <v>0</v>
      </c>
      <c r="Q241" s="24">
        <v>0</v>
      </c>
      <c r="R241" t="s">
        <v>84</v>
      </c>
      <c r="S241" s="6">
        <f>VLOOKUP(Table1[[#This Row],[Route]],'Dropdown Lists'!$M$2:$N$7,2,FALSE)</f>
        <v>7.5</v>
      </c>
      <c r="T241" s="6"/>
      <c r="U241" s="51"/>
    </row>
    <row r="242" spans="1:21" x14ac:dyDescent="0.45">
      <c r="A242">
        <f t="shared" si="24"/>
        <v>15</v>
      </c>
      <c r="D242" s="10">
        <v>46118</v>
      </c>
      <c r="E242" s="1" t="str">
        <f t="shared" si="25"/>
        <v>Monday</v>
      </c>
      <c r="F242" t="s">
        <v>16</v>
      </c>
      <c r="G242" s="2">
        <f>219.52+186.44</f>
        <v>405.96000000000004</v>
      </c>
      <c r="H242" s="47">
        <f t="shared" si="49"/>
        <v>397.96000000000004</v>
      </c>
      <c r="I242" s="2">
        <v>7</v>
      </c>
      <c r="J242" s="2">
        <f t="shared" si="50"/>
        <v>1078</v>
      </c>
      <c r="K242" t="s">
        <v>18</v>
      </c>
      <c r="L242" s="6">
        <f t="shared" si="51"/>
        <v>56.851428571428578</v>
      </c>
      <c r="M242" s="24">
        <f>SUM(H$2:H242)</f>
        <v>54144.122500000005</v>
      </c>
      <c r="N242" s="24">
        <v>0</v>
      </c>
      <c r="P242" s="24">
        <v>0</v>
      </c>
      <c r="Q242" s="24">
        <v>0</v>
      </c>
      <c r="R242" t="s">
        <v>104</v>
      </c>
      <c r="S242" s="6">
        <v>7.7</v>
      </c>
      <c r="T242" s="6"/>
      <c r="U242" s="51"/>
    </row>
    <row r="243" spans="1:21" x14ac:dyDescent="0.45">
      <c r="A243">
        <f t="shared" si="24"/>
        <v>15</v>
      </c>
      <c r="D243" s="10">
        <v>46118</v>
      </c>
      <c r="E243" s="1" t="str">
        <f t="shared" si="25"/>
        <v>Monday</v>
      </c>
      <c r="F243" t="s">
        <v>67</v>
      </c>
      <c r="G243" s="2">
        <f>122+78.86+140.76</f>
        <v>341.62</v>
      </c>
      <c r="H243" s="47">
        <f t="shared" si="49"/>
        <v>333.62</v>
      </c>
      <c r="I243" s="2">
        <v>7</v>
      </c>
      <c r="J243" s="2">
        <f t="shared" ref="J243:J252" si="52">D243-$D$2</f>
        <v>1078</v>
      </c>
      <c r="K243" t="s">
        <v>18</v>
      </c>
      <c r="L243" s="6">
        <f t="shared" ref="L243:L252" si="53">H243/I243</f>
        <v>47.660000000000004</v>
      </c>
      <c r="M243" s="24">
        <f>SUM(H$2:H243)</f>
        <v>54477.742500000008</v>
      </c>
      <c r="N243" s="24">
        <v>0</v>
      </c>
      <c r="P243" s="24">
        <v>0</v>
      </c>
      <c r="Q243" s="24">
        <v>0</v>
      </c>
      <c r="R243" t="s">
        <v>105</v>
      </c>
      <c r="S243" s="6">
        <v>14.5</v>
      </c>
      <c r="T243" s="6"/>
      <c r="U243" s="51"/>
    </row>
    <row r="244" spans="1:21" x14ac:dyDescent="0.45">
      <c r="A244">
        <f t="shared" si="24"/>
        <v>16</v>
      </c>
      <c r="D244" s="10">
        <v>46125</v>
      </c>
      <c r="E244" s="1" t="str">
        <f t="shared" si="25"/>
        <v>Monday</v>
      </c>
      <c r="F244" t="s">
        <v>65</v>
      </c>
      <c r="G244" s="2">
        <f>84.44+117.06</f>
        <v>201.5</v>
      </c>
      <c r="H244" s="47">
        <f t="shared" si="49"/>
        <v>193.5</v>
      </c>
      <c r="I244" s="2">
        <v>7</v>
      </c>
      <c r="J244" s="2">
        <f t="shared" si="52"/>
        <v>1085</v>
      </c>
      <c r="K244" t="s">
        <v>18</v>
      </c>
      <c r="L244" s="6">
        <f>H244/I244</f>
        <v>27.642857142857142</v>
      </c>
      <c r="M244" s="24">
        <f>SUM(H$2:H244)</f>
        <v>54671.242500000008</v>
      </c>
      <c r="N244" s="24">
        <v>0</v>
      </c>
      <c r="P244" s="24">
        <v>0</v>
      </c>
      <c r="Q244" s="24">
        <v>0</v>
      </c>
      <c r="R244" t="s">
        <v>84</v>
      </c>
      <c r="S244" s="6">
        <f>VLOOKUP(Table1[[#This Row],[Route]],'Dropdown Lists'!$M$2:$N$7,2,FALSE)</f>
        <v>7.5</v>
      </c>
      <c r="T244" s="6"/>
      <c r="U244" s="51"/>
    </row>
    <row r="245" spans="1:21" x14ac:dyDescent="0.45">
      <c r="A245">
        <f t="shared" si="24"/>
        <v>16</v>
      </c>
      <c r="D245" s="10">
        <v>46125</v>
      </c>
      <c r="E245" s="1" t="str">
        <f t="shared" si="25"/>
        <v>Monday</v>
      </c>
      <c r="F245" t="s">
        <v>16</v>
      </c>
      <c r="G245" s="2">
        <f>144.44+137.1+133.36</f>
        <v>414.9</v>
      </c>
      <c r="H245" s="47">
        <f t="shared" si="49"/>
        <v>406.9</v>
      </c>
      <c r="I245" s="2">
        <v>7</v>
      </c>
      <c r="J245" s="2">
        <f t="shared" si="52"/>
        <v>1085</v>
      </c>
      <c r="K245" t="s">
        <v>18</v>
      </c>
      <c r="L245" s="6">
        <f t="shared" si="53"/>
        <v>58.128571428571426</v>
      </c>
      <c r="M245" s="24">
        <f>SUM(H$2:H245)</f>
        <v>55078.142500000009</v>
      </c>
      <c r="N245" s="24">
        <v>0</v>
      </c>
      <c r="P245" s="24">
        <v>15.54</v>
      </c>
      <c r="Q245" s="24">
        <v>0</v>
      </c>
      <c r="R245" t="s">
        <v>104</v>
      </c>
      <c r="S245" s="6">
        <v>7.7</v>
      </c>
      <c r="T245" s="6"/>
      <c r="U245" s="51"/>
    </row>
    <row r="246" spans="1:21" x14ac:dyDescent="0.45">
      <c r="A246">
        <f t="shared" si="24"/>
        <v>16</v>
      </c>
      <c r="D246" s="10">
        <v>46125</v>
      </c>
      <c r="E246" s="1" t="str">
        <f t="shared" si="25"/>
        <v>Monday</v>
      </c>
      <c r="F246" t="s">
        <v>67</v>
      </c>
      <c r="G246" s="2">
        <f>145.72+147.56+160.46</f>
        <v>453.74</v>
      </c>
      <c r="H246" s="47">
        <f t="shared" si="49"/>
        <v>445.74</v>
      </c>
      <c r="I246" s="2">
        <v>7</v>
      </c>
      <c r="J246" s="2">
        <f t="shared" si="52"/>
        <v>1085</v>
      </c>
      <c r="K246" t="s">
        <v>18</v>
      </c>
      <c r="L246" s="6">
        <f t="shared" si="53"/>
        <v>63.677142857142861</v>
      </c>
      <c r="M246" s="24">
        <f>SUM(H$2:H246)</f>
        <v>55523.882500000007</v>
      </c>
      <c r="N246" s="24">
        <v>0</v>
      </c>
      <c r="P246" s="24">
        <v>0</v>
      </c>
      <c r="Q246" s="24">
        <v>0</v>
      </c>
      <c r="R246" t="s">
        <v>105</v>
      </c>
      <c r="S246" s="6">
        <v>14.5</v>
      </c>
      <c r="T246" s="24">
        <v>49985</v>
      </c>
      <c r="U246" s="51"/>
    </row>
    <row r="247" spans="1:21" x14ac:dyDescent="0.45">
      <c r="A247">
        <f t="shared" si="24"/>
        <v>17</v>
      </c>
      <c r="D247" s="10">
        <v>46132</v>
      </c>
      <c r="E247" s="1" t="str">
        <f t="shared" si="25"/>
        <v>Monday</v>
      </c>
      <c r="F247" t="s">
        <v>16</v>
      </c>
      <c r="G247" s="2">
        <f>172.42+155.16+163.38</f>
        <v>490.96</v>
      </c>
      <c r="H247" s="47">
        <f t="shared" si="49"/>
        <v>482.96</v>
      </c>
      <c r="I247" s="2">
        <v>7</v>
      </c>
      <c r="J247" s="2">
        <f t="shared" si="52"/>
        <v>1092</v>
      </c>
      <c r="K247" t="s">
        <v>18</v>
      </c>
      <c r="L247" s="6">
        <f t="shared" si="53"/>
        <v>68.994285714285709</v>
      </c>
      <c r="M247" s="24">
        <f>SUM(H$2:H247)</f>
        <v>56006.842500000006</v>
      </c>
      <c r="N247" s="24">
        <v>0</v>
      </c>
      <c r="P247" s="24">
        <v>2</v>
      </c>
      <c r="Q247" s="24">
        <v>0</v>
      </c>
      <c r="R247" t="s">
        <v>107</v>
      </c>
      <c r="S247" s="6">
        <v>6.9</v>
      </c>
      <c r="T247" s="6"/>
      <c r="U247" s="51"/>
    </row>
    <row r="248" spans="1:21" x14ac:dyDescent="0.45">
      <c r="A248">
        <f t="shared" si="24"/>
        <v>17</v>
      </c>
      <c r="D248" s="10">
        <v>46132</v>
      </c>
      <c r="E248" s="1" t="str">
        <f t="shared" si="25"/>
        <v>Monday</v>
      </c>
      <c r="F248" t="s">
        <v>65</v>
      </c>
      <c r="G248" s="2">
        <f>113.08+136</f>
        <v>249.07999999999998</v>
      </c>
      <c r="H248" s="47">
        <f t="shared" si="49"/>
        <v>241.07999999999998</v>
      </c>
      <c r="I248" s="2">
        <v>7</v>
      </c>
      <c r="J248" s="2">
        <f t="shared" si="52"/>
        <v>1092</v>
      </c>
      <c r="K248" t="s">
        <v>18</v>
      </c>
      <c r="L248" s="6">
        <f t="shared" si="53"/>
        <v>34.44</v>
      </c>
      <c r="M248" s="24">
        <f>SUM(H$2:H248)</f>
        <v>56247.922500000008</v>
      </c>
      <c r="N248" s="24">
        <v>0</v>
      </c>
      <c r="P248" s="24">
        <v>0</v>
      </c>
      <c r="Q248" s="24">
        <v>0</v>
      </c>
      <c r="R248" t="s">
        <v>108</v>
      </c>
      <c r="S248" s="6">
        <v>9.3000000000000007</v>
      </c>
      <c r="T248" s="6"/>
      <c r="U248" s="51"/>
    </row>
    <row r="249" spans="1:21" x14ac:dyDescent="0.45">
      <c r="A249">
        <f t="shared" si="24"/>
        <v>17</v>
      </c>
      <c r="D249" s="10">
        <v>46132</v>
      </c>
      <c r="E249" s="1" t="str">
        <f t="shared" si="25"/>
        <v>Monday</v>
      </c>
      <c r="F249" t="s">
        <v>67</v>
      </c>
      <c r="G249" s="2">
        <f>167.08+153.82+159.28</f>
        <v>480.17999999999995</v>
      </c>
      <c r="H249" s="47">
        <f t="shared" si="49"/>
        <v>472.17999999999995</v>
      </c>
      <c r="I249" s="2">
        <v>7</v>
      </c>
      <c r="J249" s="2">
        <f>D249-$D$2</f>
        <v>1092</v>
      </c>
      <c r="K249" t="s">
        <v>18</v>
      </c>
      <c r="L249" s="6">
        <f>H249/I249</f>
        <v>67.454285714285703</v>
      </c>
      <c r="M249" s="24">
        <f>SUM(H$2:H249)</f>
        <v>56720.102500000008</v>
      </c>
      <c r="N249" s="24">
        <v>0</v>
      </c>
      <c r="P249" s="24">
        <v>0</v>
      </c>
      <c r="Q249" s="24">
        <v>0</v>
      </c>
      <c r="R249" t="s">
        <v>105</v>
      </c>
      <c r="S249" s="6">
        <v>14.5</v>
      </c>
      <c r="T249" s="24">
        <v>50180</v>
      </c>
      <c r="U249" s="51"/>
    </row>
    <row r="250" spans="1:21" x14ac:dyDescent="0.45">
      <c r="A250">
        <f t="shared" si="24"/>
        <v>18</v>
      </c>
      <c r="D250" s="10">
        <v>46139</v>
      </c>
      <c r="E250" s="1" t="str">
        <f t="shared" si="25"/>
        <v>Monday</v>
      </c>
      <c r="F250" t="s">
        <v>65</v>
      </c>
      <c r="G250" s="2">
        <f>92.62+132.24</f>
        <v>224.86</v>
      </c>
      <c r="H250" s="47">
        <f t="shared" si="49"/>
        <v>216.86</v>
      </c>
      <c r="I250" s="2">
        <v>7</v>
      </c>
      <c r="J250" s="2">
        <f t="shared" si="52"/>
        <v>1099</v>
      </c>
      <c r="K250" t="s">
        <v>18</v>
      </c>
      <c r="L250" s="6">
        <f t="shared" si="53"/>
        <v>30.98</v>
      </c>
      <c r="M250" s="24">
        <f>SUM(H$2:H250)</f>
        <v>56936.962500000009</v>
      </c>
      <c r="N250" s="24">
        <v>0</v>
      </c>
      <c r="P250" s="24">
        <v>0</v>
      </c>
      <c r="Q250" s="24">
        <v>0</v>
      </c>
      <c r="R250" t="s">
        <v>107</v>
      </c>
      <c r="S250" s="6">
        <v>6.9</v>
      </c>
      <c r="T250" s="6"/>
      <c r="U250" s="51"/>
    </row>
    <row r="251" spans="1:21" x14ac:dyDescent="0.45">
      <c r="A251">
        <f t="shared" si="24"/>
        <v>18</v>
      </c>
      <c r="D251" s="10">
        <v>46139</v>
      </c>
      <c r="E251" s="1" t="str">
        <f t="shared" si="25"/>
        <v>Monday</v>
      </c>
      <c r="F251" t="s">
        <v>16</v>
      </c>
      <c r="G251" s="2">
        <f>104.86+116.78+156.2</f>
        <v>377.84</v>
      </c>
      <c r="H251" s="47">
        <f t="shared" si="49"/>
        <v>369.84</v>
      </c>
      <c r="I251" s="2">
        <v>7</v>
      </c>
      <c r="J251" s="2">
        <f t="shared" si="52"/>
        <v>1099</v>
      </c>
      <c r="K251" t="s">
        <v>18</v>
      </c>
      <c r="L251" s="6">
        <f t="shared" si="53"/>
        <v>52.834285714285713</v>
      </c>
      <c r="M251" s="24">
        <f>SUM(H$2:H251)</f>
        <v>57306.802500000005</v>
      </c>
      <c r="N251" s="24">
        <v>0</v>
      </c>
      <c r="P251" s="24">
        <v>2</v>
      </c>
      <c r="Q251" s="24">
        <v>0</v>
      </c>
      <c r="R251" t="s">
        <v>108</v>
      </c>
      <c r="S251" s="6">
        <v>9.3000000000000007</v>
      </c>
      <c r="T251" s="6"/>
      <c r="U251" s="51"/>
    </row>
    <row r="252" spans="1:21" x14ac:dyDescent="0.45">
      <c r="A252">
        <f t="shared" si="24"/>
        <v>18</v>
      </c>
      <c r="D252" s="10">
        <v>46139</v>
      </c>
      <c r="E252" s="1" t="str">
        <f t="shared" si="25"/>
        <v>Monday</v>
      </c>
      <c r="F252" t="s">
        <v>67</v>
      </c>
      <c r="G252" s="2">
        <f>184.88+127.86</f>
        <v>312.74</v>
      </c>
      <c r="H252" s="47">
        <f t="shared" si="49"/>
        <v>304.74</v>
      </c>
      <c r="I252" s="2">
        <v>7</v>
      </c>
      <c r="J252" s="2">
        <f t="shared" si="52"/>
        <v>1099</v>
      </c>
      <c r="K252" t="s">
        <v>18</v>
      </c>
      <c r="L252" s="6">
        <f t="shared" si="53"/>
        <v>43.534285714285716</v>
      </c>
      <c r="M252" s="24">
        <f>SUM(H$2:H252)</f>
        <v>57611.542500000003</v>
      </c>
      <c r="N252" s="24">
        <v>0</v>
      </c>
      <c r="P252" s="24">
        <v>0</v>
      </c>
      <c r="Q252" s="24">
        <v>0</v>
      </c>
      <c r="R252" t="s">
        <v>105</v>
      </c>
      <c r="S252" s="6">
        <v>14.5</v>
      </c>
      <c r="T252" s="6"/>
      <c r="U252" s="51"/>
    </row>
    <row r="253" spans="1:21" x14ac:dyDescent="0.45">
      <c r="A253">
        <f t="shared" si="24"/>
        <v>19</v>
      </c>
      <c r="D253" s="10">
        <v>46146</v>
      </c>
      <c r="E253" s="1" t="str">
        <f t="shared" si="25"/>
        <v>Monday</v>
      </c>
      <c r="F253" t="s">
        <v>65</v>
      </c>
      <c r="G253" s="2">
        <f>131.5+138.36</f>
        <v>269.86</v>
      </c>
      <c r="H253" s="47">
        <f t="shared" si="49"/>
        <v>261.86</v>
      </c>
      <c r="I253" s="2">
        <v>7</v>
      </c>
      <c r="J253" s="2">
        <f t="shared" ref="J253:J255" si="54">D253-$D$2</f>
        <v>1106</v>
      </c>
      <c r="K253" t="s">
        <v>18</v>
      </c>
      <c r="L253" s="6">
        <f t="shared" ref="L253:L274" si="55">H253/I253</f>
        <v>37.408571428571427</v>
      </c>
      <c r="M253" s="24">
        <f>SUM(H$2:H253)</f>
        <v>57873.402500000004</v>
      </c>
      <c r="N253" s="24">
        <f>Table1[[#This Row],[Net lbs]]</f>
        <v>261.86</v>
      </c>
      <c r="O253" s="56">
        <v>46148</v>
      </c>
      <c r="P253" s="24">
        <v>0</v>
      </c>
      <c r="Q253" s="24">
        <v>0</v>
      </c>
      <c r="R253" t="s">
        <v>84</v>
      </c>
      <c r="S253" s="6">
        <f>VLOOKUP(Table1[[#This Row],[Route]],'Dropdown Lists'!$M$2:$N$7,2,FALSE)</f>
        <v>7.5</v>
      </c>
      <c r="T253" s="6"/>
      <c r="U253" s="51"/>
    </row>
    <row r="254" spans="1:21" x14ac:dyDescent="0.45">
      <c r="A254">
        <f t="shared" si="24"/>
        <v>19</v>
      </c>
      <c r="D254" s="10">
        <v>46146</v>
      </c>
      <c r="E254" s="1" t="str">
        <f t="shared" si="25"/>
        <v>Monday</v>
      </c>
      <c r="F254" t="s">
        <v>16</v>
      </c>
      <c r="G254" s="2">
        <f>176.88+162.42+172.16</f>
        <v>511.45999999999992</v>
      </c>
      <c r="H254" s="47">
        <f t="shared" si="49"/>
        <v>503.45999999999992</v>
      </c>
      <c r="I254" s="2">
        <v>7</v>
      </c>
      <c r="J254" s="2">
        <f t="shared" si="54"/>
        <v>1106</v>
      </c>
      <c r="K254" t="s">
        <v>18</v>
      </c>
      <c r="L254" s="6">
        <f t="shared" si="55"/>
        <v>71.922857142857126</v>
      </c>
      <c r="M254" s="24">
        <f>SUM(H$2:H254)</f>
        <v>58376.862500000003</v>
      </c>
      <c r="N254" s="24">
        <v>0</v>
      </c>
      <c r="P254" s="24">
        <f>8.04+4.08+4.76</f>
        <v>16.88</v>
      </c>
      <c r="Q254" s="24">
        <v>0</v>
      </c>
      <c r="R254" t="s">
        <v>85</v>
      </c>
      <c r="S254" s="6">
        <f>VLOOKUP(Table1[[#This Row],[Route]],'Dropdown Lists'!$M$2:$N$7,2,FALSE)</f>
        <v>1.9</v>
      </c>
      <c r="T254" s="6"/>
      <c r="U254" s="51"/>
    </row>
    <row r="255" spans="1:21" x14ac:dyDescent="0.45">
      <c r="A255">
        <f t="shared" si="24"/>
        <v>19</v>
      </c>
      <c r="D255" s="10">
        <v>46146</v>
      </c>
      <c r="E255" s="1" t="str">
        <f t="shared" si="25"/>
        <v>Monday</v>
      </c>
      <c r="F255" t="s">
        <v>67</v>
      </c>
      <c r="G255" s="2">
        <f>159.2+107.38</f>
        <v>266.58</v>
      </c>
      <c r="H255" s="47">
        <f t="shared" si="49"/>
        <v>258.58</v>
      </c>
      <c r="I255" s="2">
        <v>7</v>
      </c>
      <c r="J255" s="2">
        <f t="shared" si="54"/>
        <v>1106</v>
      </c>
      <c r="K255" t="s">
        <v>18</v>
      </c>
      <c r="L255" s="6">
        <f t="shared" si="55"/>
        <v>36.94</v>
      </c>
      <c r="M255" s="24">
        <f>SUM(H$2:H255)</f>
        <v>58635.442500000005</v>
      </c>
      <c r="N255" s="24">
        <f>Table1[[#This Row],[Net lbs]]</f>
        <v>258.58</v>
      </c>
      <c r="O255" s="56">
        <v>46148</v>
      </c>
      <c r="P255" s="24">
        <v>0</v>
      </c>
      <c r="Q255" s="24">
        <v>0</v>
      </c>
      <c r="R255" t="s">
        <v>105</v>
      </c>
      <c r="S255" s="6">
        <v>14.5</v>
      </c>
      <c r="T255" s="24">
        <v>50925</v>
      </c>
      <c r="U255" s="51"/>
    </row>
    <row r="256" spans="1:21" x14ac:dyDescent="0.45">
      <c r="A256">
        <f t="shared" si="24"/>
        <v>20</v>
      </c>
      <c r="D256" s="10">
        <v>46153</v>
      </c>
      <c r="E256" s="1" t="str">
        <f t="shared" si="25"/>
        <v>Monday</v>
      </c>
      <c r="F256" t="s">
        <v>65</v>
      </c>
      <c r="G256" s="2">
        <f>150.88+112.3</f>
        <v>263.18</v>
      </c>
      <c r="H256" s="47">
        <f t="shared" ref="H256:H258" si="56">G256-8</f>
        <v>255.18</v>
      </c>
      <c r="I256" s="2">
        <v>7</v>
      </c>
      <c r="J256" s="2">
        <f t="shared" ref="J256:J260" si="57">D256-$D$2</f>
        <v>1113</v>
      </c>
      <c r="K256" t="s">
        <v>18</v>
      </c>
      <c r="L256" s="6">
        <f t="shared" si="55"/>
        <v>36.454285714285717</v>
      </c>
      <c r="M256" s="24">
        <f>SUM(H$2:H256)</f>
        <v>58890.622500000005</v>
      </c>
      <c r="N256" s="24">
        <v>0</v>
      </c>
      <c r="P256" s="24">
        <v>0</v>
      </c>
      <c r="Q256" s="24">
        <v>0</v>
      </c>
      <c r="R256" t="s">
        <v>84</v>
      </c>
      <c r="S256" s="6">
        <f>VLOOKUP(Table1[[#This Row],[Route]],'Dropdown Lists'!$M$2:$N$7,2,FALSE)</f>
        <v>7.5</v>
      </c>
      <c r="T256" s="6"/>
      <c r="U256" s="51"/>
    </row>
    <row r="257" spans="1:21" x14ac:dyDescent="0.45">
      <c r="A257">
        <f t="shared" si="24"/>
        <v>20</v>
      </c>
      <c r="D257" s="10">
        <v>46153</v>
      </c>
      <c r="E257" s="1" t="str">
        <f t="shared" si="25"/>
        <v>Monday</v>
      </c>
      <c r="F257" t="s">
        <v>16</v>
      </c>
      <c r="G257" s="2">
        <f>215.56+184.56</f>
        <v>400.12</v>
      </c>
      <c r="H257" s="47">
        <f t="shared" si="56"/>
        <v>392.12</v>
      </c>
      <c r="I257" s="2">
        <v>7</v>
      </c>
      <c r="J257" s="2">
        <f t="shared" si="57"/>
        <v>1113</v>
      </c>
      <c r="K257" t="s">
        <v>18</v>
      </c>
      <c r="L257" s="6">
        <f t="shared" si="55"/>
        <v>56.017142857142858</v>
      </c>
      <c r="M257" s="24">
        <f>SUM(H$2:H257)</f>
        <v>59282.742500000008</v>
      </c>
      <c r="N257" s="24">
        <v>0</v>
      </c>
      <c r="P257" s="24">
        <v>9.94</v>
      </c>
      <c r="Q257" s="24">
        <v>0</v>
      </c>
      <c r="R257" t="s">
        <v>85</v>
      </c>
      <c r="S257" s="6">
        <f>VLOOKUP(Table1[[#This Row],[Route]],'Dropdown Lists'!$M$2:$N$7,2,FALSE)</f>
        <v>1.9</v>
      </c>
      <c r="T257" s="6"/>
      <c r="U257" s="51"/>
    </row>
    <row r="258" spans="1:21" x14ac:dyDescent="0.45">
      <c r="A258">
        <f t="shared" ref="A258:A298" si="58">WEEKNUM(D258,1)</f>
        <v>20</v>
      </c>
      <c r="D258" s="10">
        <v>46153</v>
      </c>
      <c r="E258" s="1" t="str">
        <f t="shared" ref="E258:E298" si="59">TEXT(D258,"dddd")</f>
        <v>Monday</v>
      </c>
      <c r="F258" t="s">
        <v>67</v>
      </c>
      <c r="G258" s="2">
        <f>164.12+184.16</f>
        <v>348.28</v>
      </c>
      <c r="H258" s="47">
        <f t="shared" si="56"/>
        <v>340.28</v>
      </c>
      <c r="I258" s="2">
        <v>7</v>
      </c>
      <c r="J258" s="2">
        <f t="shared" si="57"/>
        <v>1113</v>
      </c>
      <c r="K258" t="s">
        <v>18</v>
      </c>
      <c r="L258" s="6">
        <f t="shared" si="55"/>
        <v>48.611428571428569</v>
      </c>
      <c r="M258" s="24">
        <f>SUM(H$2:H258)</f>
        <v>59623.022500000006</v>
      </c>
      <c r="N258" s="24">
        <v>0</v>
      </c>
      <c r="P258" s="24">
        <v>0</v>
      </c>
      <c r="Q258" s="24">
        <v>0</v>
      </c>
      <c r="R258" t="s">
        <v>86</v>
      </c>
      <c r="S258" s="6">
        <f>VLOOKUP(Table1[[#This Row],[Route]],'Dropdown Lists'!$M$2:$N$7,2,FALSE)</f>
        <v>13.7</v>
      </c>
      <c r="T258" s="6"/>
      <c r="U258" s="51"/>
    </row>
    <row r="259" spans="1:21" x14ac:dyDescent="0.45">
      <c r="A259">
        <f t="shared" si="58"/>
        <v>21</v>
      </c>
      <c r="D259" s="10">
        <v>46160</v>
      </c>
      <c r="E259" s="1" t="str">
        <f t="shared" si="59"/>
        <v>Monday</v>
      </c>
      <c r="F259" t="s">
        <v>65</v>
      </c>
      <c r="G259" s="2">
        <v>181.86</v>
      </c>
      <c r="H259" s="47">
        <f t="shared" ref="H259:H272" si="60">G259-8</f>
        <v>173.86</v>
      </c>
      <c r="I259" s="2">
        <v>7</v>
      </c>
      <c r="J259" s="2">
        <f t="shared" si="57"/>
        <v>1120</v>
      </c>
      <c r="K259" t="s">
        <v>18</v>
      </c>
      <c r="L259" s="6">
        <f t="shared" si="55"/>
        <v>24.837142857142858</v>
      </c>
      <c r="M259" s="24">
        <f>SUM(H$2:H259)</f>
        <v>59796.882500000007</v>
      </c>
      <c r="N259" s="24">
        <v>0</v>
      </c>
      <c r="P259" s="24">
        <v>0</v>
      </c>
      <c r="Q259" s="24">
        <v>0</v>
      </c>
      <c r="R259" t="s">
        <v>84</v>
      </c>
      <c r="S259" s="6">
        <f>VLOOKUP(Table1[[#This Row],[Route]],'Dropdown Lists'!$M$2:$N$7,2,FALSE)</f>
        <v>7.5</v>
      </c>
      <c r="T259" s="6"/>
      <c r="U259" s="51"/>
    </row>
    <row r="260" spans="1:21" x14ac:dyDescent="0.45">
      <c r="A260">
        <f t="shared" si="58"/>
        <v>21</v>
      </c>
      <c r="D260" s="10">
        <v>46160</v>
      </c>
      <c r="E260" s="1" t="str">
        <f t="shared" si="59"/>
        <v>Monday</v>
      </c>
      <c r="F260" t="s">
        <v>16</v>
      </c>
      <c r="G260" s="2">
        <f>147.14+166.36+164.88</f>
        <v>478.38</v>
      </c>
      <c r="H260" s="47">
        <f t="shared" si="60"/>
        <v>470.38</v>
      </c>
      <c r="I260" s="2">
        <v>7</v>
      </c>
      <c r="J260" s="2">
        <f t="shared" si="57"/>
        <v>1120</v>
      </c>
      <c r="K260" t="s">
        <v>18</v>
      </c>
      <c r="L260" s="6">
        <f t="shared" si="55"/>
        <v>67.19714285714285</v>
      </c>
      <c r="M260" s="24">
        <f>SUM(H$2:H260)</f>
        <v>60267.262500000004</v>
      </c>
      <c r="N260" s="24">
        <v>0</v>
      </c>
      <c r="P260" s="24">
        <f>4.94+8</f>
        <v>12.940000000000001</v>
      </c>
      <c r="Q260" s="24">
        <v>0</v>
      </c>
      <c r="R260" t="s">
        <v>85</v>
      </c>
      <c r="S260" s="6">
        <f>VLOOKUP(Table1[[#This Row],[Route]],'Dropdown Lists'!$M$2:$N$7,2,FALSE)</f>
        <v>1.9</v>
      </c>
      <c r="T260" s="6"/>
      <c r="U260" s="51"/>
    </row>
    <row r="261" spans="1:21" x14ac:dyDescent="0.45">
      <c r="A261">
        <f t="shared" si="58"/>
        <v>21</v>
      </c>
      <c r="D261" s="10">
        <v>46160</v>
      </c>
      <c r="E261" s="1" t="str">
        <f t="shared" si="59"/>
        <v>Monday</v>
      </c>
      <c r="F261" t="s">
        <v>67</v>
      </c>
      <c r="G261" s="2">
        <f>121.62+105.6</f>
        <v>227.22</v>
      </c>
      <c r="H261" s="47">
        <f t="shared" si="60"/>
        <v>219.22</v>
      </c>
      <c r="I261" s="2">
        <v>7</v>
      </c>
      <c r="J261" s="2">
        <f>D261-$D$2</f>
        <v>1120</v>
      </c>
      <c r="K261" t="s">
        <v>18</v>
      </c>
      <c r="L261" s="6">
        <f t="shared" si="55"/>
        <v>31.317142857142859</v>
      </c>
      <c r="M261" s="24">
        <f>SUM(H$2:H261)</f>
        <v>60486.482500000006</v>
      </c>
      <c r="N261" s="24">
        <v>0</v>
      </c>
      <c r="P261" s="24">
        <v>0</v>
      </c>
      <c r="Q261" s="24">
        <v>0</v>
      </c>
      <c r="R261" t="s">
        <v>86</v>
      </c>
      <c r="S261" s="6">
        <f>VLOOKUP(Table1[[#This Row],[Route]],'Dropdown Lists'!$M$2:$N$7,2,FALSE)</f>
        <v>13.7</v>
      </c>
      <c r="T261" s="6">
        <v>51034</v>
      </c>
      <c r="U261" s="51"/>
    </row>
    <row r="262" spans="1:21" x14ac:dyDescent="0.45">
      <c r="A262">
        <f t="shared" si="58"/>
        <v>22</v>
      </c>
      <c r="D262" s="10">
        <v>46167</v>
      </c>
      <c r="E262" s="1" t="str">
        <f t="shared" si="59"/>
        <v>Monday</v>
      </c>
      <c r="F262" t="s">
        <v>65</v>
      </c>
      <c r="G262" s="2">
        <v>225</v>
      </c>
      <c r="H262" s="47">
        <f t="shared" si="60"/>
        <v>217</v>
      </c>
      <c r="I262" s="2">
        <v>7</v>
      </c>
      <c r="J262" s="2">
        <f t="shared" ref="J262:J274" si="61">D262-$D$2</f>
        <v>1127</v>
      </c>
      <c r="K262" t="s">
        <v>18</v>
      </c>
      <c r="L262" s="6">
        <f t="shared" si="55"/>
        <v>31</v>
      </c>
      <c r="M262" s="24">
        <f>SUM(H$2:H262)</f>
        <v>60703.482500000006</v>
      </c>
      <c r="N262" s="24">
        <v>0</v>
      </c>
      <c r="P262" s="24">
        <v>0</v>
      </c>
      <c r="Q262" s="24">
        <v>0</v>
      </c>
      <c r="R262" t="s">
        <v>84</v>
      </c>
      <c r="S262" s="6">
        <f>VLOOKUP(Table1[[#This Row],[Route]],'Dropdown Lists'!$M$2:$N$7,2,FALSE)</f>
        <v>7.5</v>
      </c>
      <c r="T262" s="6"/>
      <c r="U262" s="51"/>
    </row>
    <row r="263" spans="1:21" x14ac:dyDescent="0.45">
      <c r="A263">
        <f t="shared" si="58"/>
        <v>22</v>
      </c>
      <c r="D263" s="10">
        <v>46167</v>
      </c>
      <c r="E263" s="1" t="str">
        <f t="shared" si="59"/>
        <v>Monday</v>
      </c>
      <c r="F263" t="s">
        <v>16</v>
      </c>
      <c r="G263" s="2">
        <f>217.2+159.46</f>
        <v>376.65999999999997</v>
      </c>
      <c r="H263" s="47">
        <f t="shared" si="60"/>
        <v>368.65999999999997</v>
      </c>
      <c r="I263" s="2">
        <v>7</v>
      </c>
      <c r="J263" s="2">
        <f t="shared" si="61"/>
        <v>1127</v>
      </c>
      <c r="K263" t="s">
        <v>18</v>
      </c>
      <c r="L263" s="6">
        <f t="shared" si="55"/>
        <v>52.66571428571428</v>
      </c>
      <c r="M263" s="24">
        <f>SUM(H$2:H263)</f>
        <v>61072.142500000009</v>
      </c>
      <c r="N263" s="24">
        <v>0</v>
      </c>
      <c r="P263" s="24">
        <v>8.76</v>
      </c>
      <c r="Q263" s="24">
        <v>0</v>
      </c>
      <c r="R263" t="s">
        <v>85</v>
      </c>
      <c r="S263" s="6">
        <f>VLOOKUP(Table1[[#This Row],[Route]],'Dropdown Lists'!$M$2:$N$7,2,FALSE)</f>
        <v>1.9</v>
      </c>
      <c r="T263" s="6"/>
      <c r="U263" s="51"/>
    </row>
    <row r="264" spans="1:21" x14ac:dyDescent="0.45">
      <c r="A264">
        <f t="shared" si="58"/>
        <v>22</v>
      </c>
      <c r="D264" s="10">
        <v>46167</v>
      </c>
      <c r="E264" s="1" t="str">
        <f t="shared" si="59"/>
        <v>Monday</v>
      </c>
      <c r="F264" t="s">
        <v>67</v>
      </c>
      <c r="G264" s="2">
        <f>70.96+112.3+158.67</f>
        <v>341.92999999999995</v>
      </c>
      <c r="H264" s="47">
        <f t="shared" si="60"/>
        <v>333.92999999999995</v>
      </c>
      <c r="I264" s="2">
        <v>7</v>
      </c>
      <c r="J264" s="2">
        <f t="shared" si="61"/>
        <v>1127</v>
      </c>
      <c r="K264" t="s">
        <v>18</v>
      </c>
      <c r="L264" s="6">
        <f t="shared" si="55"/>
        <v>47.70428571428571</v>
      </c>
      <c r="M264" s="24">
        <f>SUM(H$2:H264)</f>
        <v>61406.072500000009</v>
      </c>
      <c r="N264" s="24">
        <v>0</v>
      </c>
      <c r="P264" s="24">
        <v>0</v>
      </c>
      <c r="Q264" s="24">
        <v>0</v>
      </c>
      <c r="R264" t="s">
        <v>86</v>
      </c>
      <c r="S264" s="6">
        <f>VLOOKUP(Table1[[#This Row],[Route]],'Dropdown Lists'!$M$2:$N$7,2,FALSE)</f>
        <v>13.7</v>
      </c>
      <c r="T264" s="6"/>
      <c r="U264" s="51"/>
    </row>
    <row r="265" spans="1:21" x14ac:dyDescent="0.45">
      <c r="A265">
        <f t="shared" si="58"/>
        <v>23</v>
      </c>
      <c r="D265" s="10">
        <v>46174</v>
      </c>
      <c r="E265" s="1" t="str">
        <f t="shared" si="59"/>
        <v>Monday</v>
      </c>
      <c r="F265" t="s">
        <v>65</v>
      </c>
      <c r="G265" s="2">
        <f>38.96+182.34</f>
        <v>221.3</v>
      </c>
      <c r="H265" s="47">
        <f t="shared" si="60"/>
        <v>213.3</v>
      </c>
      <c r="I265" s="2">
        <v>7</v>
      </c>
      <c r="J265" s="2">
        <f t="shared" si="61"/>
        <v>1134</v>
      </c>
      <c r="K265" t="s">
        <v>18</v>
      </c>
      <c r="L265" s="6">
        <f t="shared" si="55"/>
        <v>30.471428571428572</v>
      </c>
      <c r="M265" s="24">
        <f>SUM(H$2:H265)</f>
        <v>61619.372500000012</v>
      </c>
      <c r="N265" s="24">
        <v>0</v>
      </c>
      <c r="P265" s="24">
        <v>0</v>
      </c>
      <c r="Q265" s="24">
        <v>0</v>
      </c>
      <c r="R265" t="s">
        <v>84</v>
      </c>
      <c r="S265" s="6">
        <f>VLOOKUP(Table1[[#This Row],[Route]],'Dropdown Lists'!$M$2:$N$7,2,FALSE)</f>
        <v>7.5</v>
      </c>
      <c r="T265" s="6"/>
      <c r="U265" s="51"/>
    </row>
    <row r="266" spans="1:21" x14ac:dyDescent="0.45">
      <c r="A266">
        <f t="shared" si="58"/>
        <v>23</v>
      </c>
      <c r="D266" s="10">
        <v>46174</v>
      </c>
      <c r="E266" s="1" t="str">
        <f t="shared" si="59"/>
        <v>Monday</v>
      </c>
      <c r="F266" t="s">
        <v>16</v>
      </c>
      <c r="G266" s="2">
        <f>245.68+75.48</f>
        <v>321.16000000000003</v>
      </c>
      <c r="H266" s="47">
        <f t="shared" si="60"/>
        <v>313.16000000000003</v>
      </c>
      <c r="I266" s="2">
        <v>7</v>
      </c>
      <c r="J266" s="2">
        <f t="shared" si="61"/>
        <v>1134</v>
      </c>
      <c r="K266" t="s">
        <v>18</v>
      </c>
      <c r="L266" s="6">
        <f t="shared" si="55"/>
        <v>44.737142857142864</v>
      </c>
      <c r="M266" s="24">
        <f>SUM(H$2:H266)</f>
        <v>61932.532500000016</v>
      </c>
      <c r="N266" s="24">
        <v>0</v>
      </c>
      <c r="P266" s="24">
        <v>0</v>
      </c>
      <c r="Q266" s="24">
        <v>0</v>
      </c>
      <c r="R266" t="s">
        <v>85</v>
      </c>
      <c r="S266" s="6">
        <f>VLOOKUP(Table1[[#This Row],[Route]],'Dropdown Lists'!$M$2:$N$7,2,FALSE)</f>
        <v>1.9</v>
      </c>
      <c r="T266" s="6"/>
      <c r="U266" s="51"/>
    </row>
    <row r="267" spans="1:21" x14ac:dyDescent="0.45">
      <c r="A267">
        <f t="shared" si="58"/>
        <v>23</v>
      </c>
      <c r="D267" s="10">
        <v>46174</v>
      </c>
      <c r="E267" s="1" t="str">
        <f t="shared" si="59"/>
        <v>Monday</v>
      </c>
      <c r="F267" t="s">
        <v>67</v>
      </c>
      <c r="G267" s="2">
        <f>189.34+2+103.42</f>
        <v>294.76</v>
      </c>
      <c r="H267" s="47">
        <f t="shared" si="60"/>
        <v>286.76</v>
      </c>
      <c r="I267" s="2">
        <v>7</v>
      </c>
      <c r="J267" s="2">
        <f t="shared" si="61"/>
        <v>1134</v>
      </c>
      <c r="K267" t="s">
        <v>18</v>
      </c>
      <c r="L267" s="6">
        <f t="shared" si="55"/>
        <v>40.965714285714284</v>
      </c>
      <c r="M267" s="24">
        <f>SUM(H$2:H267)</f>
        <v>62219.292500000018</v>
      </c>
      <c r="N267" s="24">
        <v>0</v>
      </c>
      <c r="P267" s="24">
        <v>0</v>
      </c>
      <c r="Q267" s="24">
        <v>0</v>
      </c>
      <c r="R267" t="s">
        <v>86</v>
      </c>
      <c r="S267" s="6">
        <f>VLOOKUP(Table1[[#This Row],[Route]],'Dropdown Lists'!$M$2:$N$7,2,FALSE)</f>
        <v>13.7</v>
      </c>
      <c r="T267" s="6"/>
      <c r="U267" s="51"/>
    </row>
    <row r="268" spans="1:21" x14ac:dyDescent="0.45">
      <c r="A268">
        <f t="shared" si="58"/>
        <v>24</v>
      </c>
      <c r="D268" s="10">
        <v>46182</v>
      </c>
      <c r="E268" s="1" t="str">
        <f t="shared" si="59"/>
        <v>Tuesday</v>
      </c>
      <c r="F268" t="s">
        <v>67</v>
      </c>
      <c r="G268" s="2">
        <f>206.06+175.4</f>
        <v>381.46000000000004</v>
      </c>
      <c r="H268" s="47">
        <f t="shared" si="60"/>
        <v>373.46000000000004</v>
      </c>
      <c r="I268" s="2">
        <v>8</v>
      </c>
      <c r="J268" s="2">
        <f t="shared" si="61"/>
        <v>1142</v>
      </c>
      <c r="K268" t="s">
        <v>18</v>
      </c>
      <c r="L268" s="6">
        <f t="shared" si="55"/>
        <v>46.682500000000005</v>
      </c>
      <c r="M268" s="24">
        <f>SUM(H$2:H268)</f>
        <v>62592.752500000017</v>
      </c>
      <c r="N268" s="24">
        <v>0</v>
      </c>
      <c r="P268" s="24">
        <v>3</v>
      </c>
      <c r="Q268" s="24">
        <v>0</v>
      </c>
      <c r="R268" t="s">
        <v>86</v>
      </c>
      <c r="S268" s="6">
        <f>VLOOKUP(Table1[[#This Row],[Route]],'Dropdown Lists'!$M$2:$N$7,2,FALSE)</f>
        <v>13.7</v>
      </c>
      <c r="T268" s="6"/>
      <c r="U268" s="51"/>
    </row>
    <row r="269" spans="1:21" x14ac:dyDescent="0.45">
      <c r="A269">
        <f t="shared" si="58"/>
        <v>24</v>
      </c>
      <c r="D269" s="10">
        <v>46182</v>
      </c>
      <c r="E269" s="1" t="str">
        <f t="shared" si="59"/>
        <v>Tuesday</v>
      </c>
      <c r="F269" t="s">
        <v>16</v>
      </c>
      <c r="G269" s="2">
        <f>193.12+117.74</f>
        <v>310.86</v>
      </c>
      <c r="H269" s="47">
        <f t="shared" si="60"/>
        <v>302.86</v>
      </c>
      <c r="I269" s="2">
        <v>8</v>
      </c>
      <c r="J269" s="2">
        <f t="shared" si="61"/>
        <v>1142</v>
      </c>
      <c r="K269" t="s">
        <v>18</v>
      </c>
      <c r="L269" s="6">
        <f t="shared" si="55"/>
        <v>37.857500000000002</v>
      </c>
      <c r="M269" s="24">
        <f>SUM(H$2:H269)</f>
        <v>62895.612500000017</v>
      </c>
      <c r="N269" s="24">
        <v>0</v>
      </c>
      <c r="P269" s="24">
        <v>0</v>
      </c>
      <c r="Q269" s="24">
        <v>0</v>
      </c>
      <c r="R269" t="s">
        <v>85</v>
      </c>
      <c r="S269" s="6">
        <f>VLOOKUP(Table1[[#This Row],[Route]],'Dropdown Lists'!$M$2:$N$7,2,FALSE)</f>
        <v>1.9</v>
      </c>
      <c r="T269" s="6"/>
      <c r="U269" s="51"/>
    </row>
    <row r="270" spans="1:21" x14ac:dyDescent="0.45">
      <c r="A270">
        <f t="shared" si="58"/>
        <v>24</v>
      </c>
      <c r="D270" s="10">
        <v>46182</v>
      </c>
      <c r="E270" s="1" t="str">
        <f t="shared" si="59"/>
        <v>Tuesday</v>
      </c>
      <c r="F270" t="s">
        <v>65</v>
      </c>
      <c r="G270" s="2">
        <f>102.8+109.02</f>
        <v>211.82</v>
      </c>
      <c r="H270" s="47">
        <f t="shared" si="60"/>
        <v>203.82</v>
      </c>
      <c r="I270" s="2">
        <v>8</v>
      </c>
      <c r="J270" s="2">
        <f t="shared" si="61"/>
        <v>1142</v>
      </c>
      <c r="K270" t="s">
        <v>18</v>
      </c>
      <c r="L270" s="6">
        <f t="shared" si="55"/>
        <v>25.477499999999999</v>
      </c>
      <c r="M270" s="24">
        <f>SUM(H$2:H270)</f>
        <v>63099.432500000017</v>
      </c>
      <c r="N270" s="24">
        <v>0</v>
      </c>
      <c r="P270" s="24">
        <v>0</v>
      </c>
      <c r="Q270" s="24">
        <v>0</v>
      </c>
      <c r="R270" t="s">
        <v>84</v>
      </c>
      <c r="S270" s="6">
        <f>VLOOKUP(Table1[[#This Row],[Route]],'Dropdown Lists'!$M$2:$N$7,2,FALSE)</f>
        <v>7.5</v>
      </c>
      <c r="T270" s="6"/>
      <c r="U270" s="51"/>
    </row>
    <row r="271" spans="1:21" x14ac:dyDescent="0.45">
      <c r="A271">
        <f t="shared" si="58"/>
        <v>25</v>
      </c>
      <c r="D271" s="10">
        <v>46189</v>
      </c>
      <c r="E271" s="1" t="str">
        <f t="shared" si="59"/>
        <v>Tuesday</v>
      </c>
      <c r="F271" t="s">
        <v>69</v>
      </c>
      <c r="G271" s="2">
        <v>173.34</v>
      </c>
      <c r="H271" s="47">
        <f t="shared" si="60"/>
        <v>165.34</v>
      </c>
      <c r="I271" s="2">
        <v>7</v>
      </c>
      <c r="J271" s="2">
        <f t="shared" si="61"/>
        <v>1149</v>
      </c>
      <c r="K271" t="s">
        <v>18</v>
      </c>
      <c r="L271" s="6">
        <f t="shared" si="55"/>
        <v>23.62</v>
      </c>
      <c r="M271" s="24">
        <f>SUM(H$2:H271)</f>
        <v>63264.772500000014</v>
      </c>
      <c r="N271" s="24">
        <f>Table1[[#This Row],[Net lbs]]</f>
        <v>165.34</v>
      </c>
      <c r="O271" s="56">
        <v>46193</v>
      </c>
      <c r="P271" s="24">
        <v>0</v>
      </c>
      <c r="Q271" s="24">
        <v>0</v>
      </c>
      <c r="R271" t="s">
        <v>110</v>
      </c>
      <c r="S271" s="6">
        <v>19.100000000000001</v>
      </c>
      <c r="T271" s="6"/>
      <c r="U271" s="51" t="s">
        <v>112</v>
      </c>
    </row>
    <row r="272" spans="1:21" x14ac:dyDescent="0.45">
      <c r="A272">
        <f t="shared" si="58"/>
        <v>25</v>
      </c>
      <c r="D272" s="10">
        <v>46189</v>
      </c>
      <c r="E272" s="1" t="str">
        <f t="shared" si="59"/>
        <v>Tuesday</v>
      </c>
      <c r="F272" t="s">
        <v>65</v>
      </c>
      <c r="G272" s="2">
        <v>194.88</v>
      </c>
      <c r="H272" s="47">
        <f t="shared" si="60"/>
        <v>186.88</v>
      </c>
      <c r="I272" s="2">
        <v>7</v>
      </c>
      <c r="J272" s="2">
        <f t="shared" si="61"/>
        <v>1149</v>
      </c>
      <c r="K272" t="s">
        <v>18</v>
      </c>
      <c r="L272" s="6">
        <f t="shared" si="55"/>
        <v>26.697142857142858</v>
      </c>
      <c r="M272" s="24">
        <f>SUM(H$2:H272)</f>
        <v>63451.652500000011</v>
      </c>
      <c r="N272" s="24">
        <f>Table1[[#This Row],[Net lbs]]</f>
        <v>186.88</v>
      </c>
      <c r="O272" s="56">
        <v>46193</v>
      </c>
      <c r="P272" s="24">
        <v>0</v>
      </c>
      <c r="Q272" s="24">
        <v>0</v>
      </c>
      <c r="R272" t="s">
        <v>111</v>
      </c>
      <c r="S272" s="6">
        <v>3.8</v>
      </c>
      <c r="T272" s="6"/>
      <c r="U272" s="51"/>
    </row>
    <row r="273" spans="1:21" x14ac:dyDescent="0.45">
      <c r="A273">
        <f t="shared" si="58"/>
        <v>25</v>
      </c>
      <c r="D273" s="10">
        <v>46189</v>
      </c>
      <c r="E273" s="1" t="str">
        <f t="shared" si="59"/>
        <v>Tuesday</v>
      </c>
      <c r="F273" t="s">
        <v>16</v>
      </c>
      <c r="G273" s="2">
        <f>210.5+110.62</f>
        <v>321.12</v>
      </c>
      <c r="H273" s="47">
        <f>G273-16</f>
        <v>305.12</v>
      </c>
      <c r="I273" s="2">
        <v>7</v>
      </c>
      <c r="J273" s="2">
        <f t="shared" si="61"/>
        <v>1149</v>
      </c>
      <c r="K273" t="s">
        <v>18</v>
      </c>
      <c r="L273" s="6">
        <f t="shared" si="55"/>
        <v>43.588571428571427</v>
      </c>
      <c r="M273" s="24">
        <f>SUM(H$2:H273)</f>
        <v>63756.772500000014</v>
      </c>
      <c r="N273" s="24">
        <f>110.62-8</f>
        <v>102.62</v>
      </c>
      <c r="O273" s="56">
        <v>46193</v>
      </c>
      <c r="P273" s="24">
        <f>3.44+7.98</f>
        <v>11.42</v>
      </c>
      <c r="Q273" s="24">
        <v>0</v>
      </c>
      <c r="R273" t="s">
        <v>107</v>
      </c>
      <c r="S273" s="6">
        <v>6.9</v>
      </c>
      <c r="T273" s="6"/>
      <c r="U273" s="51"/>
    </row>
    <row r="274" spans="1:21" x14ac:dyDescent="0.45">
      <c r="A274">
        <f t="shared" si="58"/>
        <v>25</v>
      </c>
      <c r="D274" s="10">
        <v>46189</v>
      </c>
      <c r="E274" s="1" t="str">
        <f t="shared" si="59"/>
        <v>Tuesday</v>
      </c>
      <c r="F274" t="s">
        <v>67</v>
      </c>
      <c r="G274" s="2">
        <f>146.28+239.4</f>
        <v>385.68</v>
      </c>
      <c r="H274" s="47">
        <f>G274-16</f>
        <v>369.68</v>
      </c>
      <c r="I274" s="2">
        <v>7</v>
      </c>
      <c r="J274" s="2">
        <f t="shared" si="61"/>
        <v>1149</v>
      </c>
      <c r="K274" t="s">
        <v>18</v>
      </c>
      <c r="L274" s="6">
        <f t="shared" si="55"/>
        <v>52.811428571428571</v>
      </c>
      <c r="M274" s="24">
        <f>SUM(H$2:H274)</f>
        <v>64126.452500000014</v>
      </c>
      <c r="N274" s="24">
        <v>146.28</v>
      </c>
      <c r="O274" s="56">
        <v>46193</v>
      </c>
      <c r="P274" s="24">
        <v>0</v>
      </c>
      <c r="Q274" s="24">
        <v>0</v>
      </c>
      <c r="R274" t="s">
        <v>86</v>
      </c>
      <c r="S274" s="6">
        <f>VLOOKUP(Table1[[#This Row],[Route]],'Dropdown Lists'!$M$2:$N$7,2,FALSE)</f>
        <v>13.7</v>
      </c>
      <c r="T274" s="6"/>
      <c r="U274" s="51"/>
    </row>
    <row r="275" spans="1:21" x14ac:dyDescent="0.45">
      <c r="A275">
        <f t="shared" si="58"/>
        <v>26</v>
      </c>
      <c r="D275" s="10">
        <v>46195</v>
      </c>
      <c r="E275" s="1" t="str">
        <f t="shared" si="59"/>
        <v>Monday</v>
      </c>
      <c r="F275" t="s">
        <v>69</v>
      </c>
      <c r="G275" s="2">
        <f>197.38</f>
        <v>197.38</v>
      </c>
      <c r="H275" s="47">
        <f>G275-8</f>
        <v>189.38</v>
      </c>
      <c r="I275" s="2">
        <f>IF(Table1[[#This Row],[Date]]-D274&lt;0, 0, Table1[[#This Row],[Date]]-D274)</f>
        <v>6</v>
      </c>
      <c r="J275" s="2">
        <f t="shared" ref="J275:J282" si="62">D275-$D$2</f>
        <v>1155</v>
      </c>
      <c r="K275" t="s">
        <v>18</v>
      </c>
      <c r="L275" s="6">
        <f t="shared" ref="L275:L278" si="63">H275/I275</f>
        <v>31.563333333333333</v>
      </c>
      <c r="M275" s="24">
        <f>SUM(H$2:H275)</f>
        <v>64315.832500000011</v>
      </c>
      <c r="N275" s="24">
        <v>0</v>
      </c>
      <c r="P275" s="24">
        <v>0</v>
      </c>
      <c r="Q275" s="24">
        <v>0</v>
      </c>
      <c r="R275" t="s">
        <v>110</v>
      </c>
      <c r="S275" s="6">
        <v>19.100000000000001</v>
      </c>
      <c r="T275" s="6"/>
      <c r="U275" s="51"/>
    </row>
    <row r="276" spans="1:21" x14ac:dyDescent="0.45">
      <c r="A276">
        <f t="shared" si="58"/>
        <v>26</v>
      </c>
      <c r="D276" s="10">
        <v>46195</v>
      </c>
      <c r="E276" s="1" t="str">
        <f t="shared" si="59"/>
        <v>Monday</v>
      </c>
      <c r="F276" t="s">
        <v>65</v>
      </c>
      <c r="G276" s="2">
        <v>139.06</v>
      </c>
      <c r="H276" s="47">
        <f t="shared" ref="H276" si="64">G276-8</f>
        <v>131.06</v>
      </c>
      <c r="I276" s="2">
        <v>6</v>
      </c>
      <c r="J276" s="2">
        <f t="shared" si="62"/>
        <v>1155</v>
      </c>
      <c r="K276" t="s">
        <v>18</v>
      </c>
      <c r="L276" s="6">
        <f t="shared" si="63"/>
        <v>21.843333333333334</v>
      </c>
      <c r="M276" s="24">
        <f>SUM(H$2:H276)</f>
        <v>64446.892500000009</v>
      </c>
      <c r="N276" s="24">
        <v>0</v>
      </c>
      <c r="P276" s="24">
        <v>0</v>
      </c>
      <c r="Q276" s="24">
        <v>0</v>
      </c>
      <c r="R276" t="s">
        <v>111</v>
      </c>
      <c r="S276" s="6">
        <v>3.8</v>
      </c>
      <c r="T276" s="6"/>
      <c r="U276" s="51"/>
    </row>
    <row r="277" spans="1:21" x14ac:dyDescent="0.45">
      <c r="A277">
        <f t="shared" si="58"/>
        <v>26</v>
      </c>
      <c r="D277" s="10">
        <v>46195</v>
      </c>
      <c r="E277" s="1" t="str">
        <f t="shared" si="59"/>
        <v>Monday</v>
      </c>
      <c r="F277" t="s">
        <v>16</v>
      </c>
      <c r="G277" s="2">
        <f>126.32+195.46</f>
        <v>321.77999999999997</v>
      </c>
      <c r="H277" s="47">
        <f>G277-16</f>
        <v>305.77999999999997</v>
      </c>
      <c r="I277" s="2">
        <v>6</v>
      </c>
      <c r="J277" s="2">
        <f t="shared" si="62"/>
        <v>1155</v>
      </c>
      <c r="K277" t="s">
        <v>18</v>
      </c>
      <c r="L277" s="6">
        <f t="shared" si="63"/>
        <v>50.963333333333331</v>
      </c>
      <c r="M277" s="24">
        <f>SUM(H$2:H277)</f>
        <v>64752.672500000008</v>
      </c>
      <c r="N277" s="24">
        <v>0</v>
      </c>
      <c r="P277" s="24">
        <v>0</v>
      </c>
      <c r="Q277" s="24">
        <v>0</v>
      </c>
      <c r="R277" t="s">
        <v>107</v>
      </c>
      <c r="S277" s="6">
        <v>6.9</v>
      </c>
      <c r="T277" s="6"/>
      <c r="U277" s="51"/>
    </row>
    <row r="278" spans="1:21" x14ac:dyDescent="0.45">
      <c r="A278">
        <f t="shared" si="58"/>
        <v>26</v>
      </c>
      <c r="D278" s="10">
        <v>46195</v>
      </c>
      <c r="E278" s="1" t="str">
        <f t="shared" si="59"/>
        <v>Monday</v>
      </c>
      <c r="F278" t="s">
        <v>67</v>
      </c>
      <c r="G278" s="2">
        <f>109.08+177.22</f>
        <v>286.3</v>
      </c>
      <c r="H278" s="47">
        <f>G278-16</f>
        <v>270.3</v>
      </c>
      <c r="I278" s="2">
        <v>6</v>
      </c>
      <c r="J278" s="2">
        <f t="shared" si="62"/>
        <v>1155</v>
      </c>
      <c r="K278" t="s">
        <v>18</v>
      </c>
      <c r="L278" s="6">
        <f t="shared" si="63"/>
        <v>45.050000000000004</v>
      </c>
      <c r="M278" s="24">
        <f>SUM(H$2:H278)</f>
        <v>65022.972500000011</v>
      </c>
      <c r="N278" s="24">
        <v>0</v>
      </c>
      <c r="P278" s="24">
        <v>0</v>
      </c>
      <c r="Q278" s="24">
        <v>0</v>
      </c>
      <c r="R278" t="s">
        <v>86</v>
      </c>
      <c r="S278" s="6">
        <f>VLOOKUP(Table1[[#This Row],[Route]],'Dropdown Lists'!$M$2:$N$7,2,FALSE)</f>
        <v>13.7</v>
      </c>
      <c r="T278" s="6"/>
      <c r="U278" s="51"/>
    </row>
    <row r="279" spans="1:21" x14ac:dyDescent="0.45">
      <c r="A279">
        <f t="shared" si="58"/>
        <v>27</v>
      </c>
      <c r="D279" s="10">
        <v>46202</v>
      </c>
      <c r="E279" s="1" t="str">
        <f t="shared" si="59"/>
        <v>Monday</v>
      </c>
      <c r="F279" t="s">
        <v>69</v>
      </c>
      <c r="G279" s="2">
        <f>95.16+165.3</f>
        <v>260.46000000000004</v>
      </c>
      <c r="H279" s="47">
        <f t="shared" ref="H279:H294" si="65">G279-16</f>
        <v>244.46000000000004</v>
      </c>
      <c r="I279" s="2">
        <f>IF(Table1[[#This Row],[Date]]-D278&lt;0, 0, Table1[[#This Row],[Date]]-D278)</f>
        <v>7</v>
      </c>
      <c r="J279" s="2">
        <f t="shared" si="62"/>
        <v>1162</v>
      </c>
      <c r="K279" t="s">
        <v>18</v>
      </c>
      <c r="L279" s="6">
        <f t="shared" ref="L279:L282" si="66">H279/I279</f>
        <v>34.922857142857147</v>
      </c>
      <c r="M279" s="24">
        <f>SUM(H$2:H279)</f>
        <v>65267.43250000001</v>
      </c>
      <c r="N279" s="24">
        <v>0</v>
      </c>
      <c r="P279" s="24">
        <v>0</v>
      </c>
      <c r="Q279" s="24">
        <v>0</v>
      </c>
      <c r="R279" t="s">
        <v>110</v>
      </c>
      <c r="S279" s="6">
        <v>19.100000000000001</v>
      </c>
      <c r="T279" s="6"/>
      <c r="U279" s="51"/>
    </row>
    <row r="280" spans="1:21" x14ac:dyDescent="0.45">
      <c r="A280">
        <f t="shared" si="58"/>
        <v>27</v>
      </c>
      <c r="D280" s="10">
        <v>46202</v>
      </c>
      <c r="E280" s="1" t="str">
        <f t="shared" si="59"/>
        <v>Monday</v>
      </c>
      <c r="F280" t="s">
        <v>65</v>
      </c>
      <c r="G280" s="2">
        <f>227.96+67.1</f>
        <v>295.06</v>
      </c>
      <c r="H280" s="47">
        <f t="shared" si="65"/>
        <v>279.06</v>
      </c>
      <c r="I280" s="2">
        <v>7</v>
      </c>
      <c r="J280" s="2">
        <f t="shared" si="62"/>
        <v>1162</v>
      </c>
      <c r="K280" t="s">
        <v>18</v>
      </c>
      <c r="L280" s="6">
        <f t="shared" si="66"/>
        <v>39.865714285714283</v>
      </c>
      <c r="M280" s="24">
        <f>SUM(H$2:H280)</f>
        <v>65546.492500000008</v>
      </c>
      <c r="N280" s="24">
        <v>0</v>
      </c>
      <c r="P280" s="24">
        <v>0</v>
      </c>
      <c r="Q280" s="24">
        <v>0</v>
      </c>
      <c r="R280" t="s">
        <v>111</v>
      </c>
      <c r="S280" s="6">
        <v>3.8</v>
      </c>
      <c r="T280" s="6"/>
      <c r="U280" s="51"/>
    </row>
    <row r="281" spans="1:21" x14ac:dyDescent="0.45">
      <c r="A281">
        <f t="shared" si="58"/>
        <v>27</v>
      </c>
      <c r="D281" s="10">
        <v>46202</v>
      </c>
      <c r="E281" s="1" t="str">
        <f t="shared" si="59"/>
        <v>Monday</v>
      </c>
      <c r="F281" t="s">
        <v>16</v>
      </c>
      <c r="G281" s="2">
        <f>209.84+10</f>
        <v>219.84</v>
      </c>
      <c r="H281" s="47">
        <f>G281-8</f>
        <v>211.84</v>
      </c>
      <c r="I281" s="2">
        <v>7</v>
      </c>
      <c r="J281" s="2">
        <f t="shared" si="62"/>
        <v>1162</v>
      </c>
      <c r="K281" t="s">
        <v>18</v>
      </c>
      <c r="L281" s="6">
        <f t="shared" si="66"/>
        <v>30.262857142857143</v>
      </c>
      <c r="M281" s="24">
        <f>SUM(H$2:H281)</f>
        <v>65758.332500000004</v>
      </c>
      <c r="N281" s="24">
        <v>0</v>
      </c>
      <c r="P281" s="24">
        <v>5.66</v>
      </c>
      <c r="Q281" s="24">
        <v>0</v>
      </c>
      <c r="R281" t="s">
        <v>107</v>
      </c>
      <c r="S281" s="6">
        <v>6.9</v>
      </c>
      <c r="T281" s="6"/>
      <c r="U281" s="51"/>
    </row>
    <row r="282" spans="1:21" x14ac:dyDescent="0.45">
      <c r="A282">
        <f t="shared" si="58"/>
        <v>27</v>
      </c>
      <c r="D282" s="10">
        <v>46202</v>
      </c>
      <c r="E282" s="1" t="str">
        <f t="shared" si="59"/>
        <v>Monday</v>
      </c>
      <c r="F282" t="s">
        <v>67</v>
      </c>
      <c r="G282" s="2">
        <f>169.96+195.46</f>
        <v>365.42</v>
      </c>
      <c r="H282" s="47">
        <f t="shared" si="65"/>
        <v>349.42</v>
      </c>
      <c r="I282" s="2">
        <v>7</v>
      </c>
      <c r="J282" s="2">
        <f t="shared" si="62"/>
        <v>1162</v>
      </c>
      <c r="K282" t="s">
        <v>18</v>
      </c>
      <c r="L282" s="6">
        <f t="shared" si="66"/>
        <v>49.917142857142856</v>
      </c>
      <c r="M282" s="24">
        <f>SUM(H$2:H282)</f>
        <v>66107.752500000002</v>
      </c>
      <c r="N282" s="24">
        <v>0</v>
      </c>
      <c r="P282" s="24">
        <v>0</v>
      </c>
      <c r="Q282" s="24">
        <v>0</v>
      </c>
      <c r="R282" t="s">
        <v>86</v>
      </c>
      <c r="S282" s="6">
        <f>VLOOKUP(Table1[[#This Row],[Route]],'Dropdown Lists'!$M$2:$N$7,2,FALSE)</f>
        <v>13.7</v>
      </c>
      <c r="T282" s="6"/>
      <c r="U282" s="51"/>
    </row>
    <row r="283" spans="1:21" x14ac:dyDescent="0.45">
      <c r="A283">
        <f t="shared" si="58"/>
        <v>28</v>
      </c>
      <c r="D283" s="10">
        <v>46209</v>
      </c>
      <c r="E283" s="1" t="str">
        <f t="shared" si="59"/>
        <v>Monday</v>
      </c>
      <c r="F283" t="s">
        <v>69</v>
      </c>
      <c r="G283" s="2">
        <f>174.58</f>
        <v>174.58</v>
      </c>
      <c r="H283" s="47">
        <f>G283-8</f>
        <v>166.58</v>
      </c>
      <c r="I283" s="2">
        <v>7</v>
      </c>
      <c r="J283" s="2">
        <f t="shared" ref="J283:J286" si="67">D283-$D$2</f>
        <v>1169</v>
      </c>
      <c r="K283" t="s">
        <v>18</v>
      </c>
      <c r="L283" s="6">
        <f t="shared" ref="L283:L286" si="68">H283/I283</f>
        <v>23.797142857142859</v>
      </c>
      <c r="M283" s="24">
        <f>SUM(H$2:H283)</f>
        <v>66274.332500000004</v>
      </c>
      <c r="N283" s="24">
        <v>0</v>
      </c>
      <c r="P283" s="24">
        <f>1.78+4.22+1.9+4.04+1.9</f>
        <v>13.840000000000002</v>
      </c>
      <c r="Q283" s="24">
        <v>0</v>
      </c>
      <c r="R283" t="s">
        <v>110</v>
      </c>
      <c r="S283" s="6">
        <v>19.100000000000001</v>
      </c>
      <c r="T283" s="6"/>
      <c r="U283" s="51"/>
    </row>
    <row r="284" spans="1:21" x14ac:dyDescent="0.45">
      <c r="A284">
        <f t="shared" si="58"/>
        <v>28</v>
      </c>
      <c r="D284" s="10">
        <v>46209</v>
      </c>
      <c r="E284" s="1" t="str">
        <f t="shared" si="59"/>
        <v>Monday</v>
      </c>
      <c r="F284" t="s">
        <v>65</v>
      </c>
      <c r="G284" s="2">
        <v>97.28</v>
      </c>
      <c r="H284" s="47">
        <f>G284-8</f>
        <v>89.28</v>
      </c>
      <c r="I284" s="2">
        <v>7</v>
      </c>
      <c r="J284" s="2">
        <f t="shared" si="67"/>
        <v>1169</v>
      </c>
      <c r="K284" t="s">
        <v>18</v>
      </c>
      <c r="L284" s="6">
        <f t="shared" si="68"/>
        <v>12.754285714285714</v>
      </c>
      <c r="M284" s="24">
        <f>SUM(H$2:H284)</f>
        <v>66363.612500000003</v>
      </c>
      <c r="N284" s="24">
        <v>0</v>
      </c>
      <c r="P284" s="24">
        <v>0</v>
      </c>
      <c r="Q284" s="24">
        <v>0</v>
      </c>
      <c r="R284" t="s">
        <v>111</v>
      </c>
      <c r="S284" s="6">
        <v>3.8</v>
      </c>
      <c r="T284" s="6"/>
      <c r="U284" s="51"/>
    </row>
    <row r="285" spans="1:21" x14ac:dyDescent="0.45">
      <c r="A285">
        <f t="shared" si="58"/>
        <v>28</v>
      </c>
      <c r="D285" s="10">
        <v>46209</v>
      </c>
      <c r="E285" s="1" t="str">
        <f t="shared" si="59"/>
        <v>Monday</v>
      </c>
      <c r="F285" t="s">
        <v>16</v>
      </c>
      <c r="G285" s="2">
        <f>201.92+131.64</f>
        <v>333.55999999999995</v>
      </c>
      <c r="H285" s="47">
        <f t="shared" si="65"/>
        <v>317.55999999999995</v>
      </c>
      <c r="I285" s="2">
        <v>7</v>
      </c>
      <c r="J285" s="2">
        <f t="shared" si="67"/>
        <v>1169</v>
      </c>
      <c r="K285" t="s">
        <v>18</v>
      </c>
      <c r="L285" s="6">
        <f t="shared" si="68"/>
        <v>45.365714285714276</v>
      </c>
      <c r="M285" s="24">
        <f>SUM(H$2:H285)</f>
        <v>66681.172500000001</v>
      </c>
      <c r="N285" s="24">
        <v>0</v>
      </c>
      <c r="P285" s="24">
        <v>0</v>
      </c>
      <c r="Q285" s="24">
        <v>0</v>
      </c>
      <c r="R285" t="s">
        <v>107</v>
      </c>
      <c r="S285" s="6">
        <v>6.9</v>
      </c>
      <c r="T285" s="6"/>
      <c r="U285" s="51"/>
    </row>
    <row r="286" spans="1:21" x14ac:dyDescent="0.45">
      <c r="A286">
        <f t="shared" si="58"/>
        <v>28</v>
      </c>
      <c r="D286" s="10">
        <v>46209</v>
      </c>
      <c r="E286" s="1" t="str">
        <f t="shared" si="59"/>
        <v>Monday</v>
      </c>
      <c r="F286" t="s">
        <v>67</v>
      </c>
      <c r="G286" s="2">
        <f>103.62+164.98+88.34</f>
        <v>356.94000000000005</v>
      </c>
      <c r="H286" s="47">
        <f t="shared" si="65"/>
        <v>340.94000000000005</v>
      </c>
      <c r="I286" s="2">
        <v>7</v>
      </c>
      <c r="J286" s="2">
        <f t="shared" si="67"/>
        <v>1169</v>
      </c>
      <c r="K286" t="s">
        <v>18</v>
      </c>
      <c r="L286" s="6">
        <f t="shared" si="68"/>
        <v>48.705714285714294</v>
      </c>
      <c r="M286" s="24">
        <f>SUM(H$2:H286)</f>
        <v>67022.112500000003</v>
      </c>
      <c r="N286" s="24">
        <v>0</v>
      </c>
      <c r="P286" s="24">
        <v>0</v>
      </c>
      <c r="Q286" s="24">
        <v>0</v>
      </c>
      <c r="R286" t="s">
        <v>86</v>
      </c>
      <c r="S286" s="6">
        <f>VLOOKUP(Table1[[#This Row],[Route]],'Dropdown Lists'!$M$2:$N$7,2,FALSE)</f>
        <v>13.7</v>
      </c>
      <c r="T286" s="6"/>
      <c r="U286" s="51"/>
    </row>
    <row r="287" spans="1:21" x14ac:dyDescent="0.45">
      <c r="A287">
        <f t="shared" si="58"/>
        <v>29</v>
      </c>
      <c r="D287" s="10">
        <v>46217</v>
      </c>
      <c r="E287" s="1" t="str">
        <f t="shared" si="59"/>
        <v>Tuesday</v>
      </c>
      <c r="F287" t="s">
        <v>69</v>
      </c>
      <c r="G287" s="2">
        <v>197.26</v>
      </c>
      <c r="H287" s="47">
        <f>G287-8</f>
        <v>189.26</v>
      </c>
      <c r="I287" s="2">
        <v>8</v>
      </c>
      <c r="J287" s="2">
        <f t="shared" ref="J287:J290" si="69">D287-$D$2</f>
        <v>1177</v>
      </c>
      <c r="K287" t="s">
        <v>18</v>
      </c>
      <c r="L287" s="6">
        <f t="shared" ref="L287:L290" si="70">H287/I287</f>
        <v>23.657499999999999</v>
      </c>
      <c r="M287" s="24">
        <f>SUM(H$2:H287)</f>
        <v>67211.372499999998</v>
      </c>
      <c r="N287" s="24">
        <v>0</v>
      </c>
      <c r="P287" s="24">
        <v>0</v>
      </c>
      <c r="Q287" s="24">
        <v>0</v>
      </c>
      <c r="R287" t="s">
        <v>110</v>
      </c>
      <c r="S287" s="6">
        <v>19.100000000000001</v>
      </c>
      <c r="T287" s="6"/>
      <c r="U287" s="51"/>
    </row>
    <row r="288" spans="1:21" x14ac:dyDescent="0.45">
      <c r="A288">
        <f t="shared" si="58"/>
        <v>29</v>
      </c>
      <c r="D288" s="10">
        <v>46217</v>
      </c>
      <c r="E288" s="1" t="str">
        <f t="shared" si="59"/>
        <v>Tuesday</v>
      </c>
      <c r="F288" t="s">
        <v>65</v>
      </c>
      <c r="G288" s="2">
        <v>212.3</v>
      </c>
      <c r="H288" s="47">
        <f>G288-8</f>
        <v>204.3</v>
      </c>
      <c r="I288" s="2">
        <v>8</v>
      </c>
      <c r="J288" s="2">
        <f t="shared" si="69"/>
        <v>1177</v>
      </c>
      <c r="K288" t="s">
        <v>18</v>
      </c>
      <c r="L288" s="6">
        <f t="shared" si="70"/>
        <v>25.537500000000001</v>
      </c>
      <c r="M288" s="24">
        <f>SUM(H$2:H288)</f>
        <v>67415.672500000001</v>
      </c>
      <c r="N288" s="24">
        <v>0</v>
      </c>
      <c r="P288" s="24">
        <v>0</v>
      </c>
      <c r="Q288" s="24">
        <v>0</v>
      </c>
      <c r="R288" t="s">
        <v>111</v>
      </c>
      <c r="S288" s="6">
        <v>3.8</v>
      </c>
      <c r="T288" s="6"/>
      <c r="U288" s="51"/>
    </row>
    <row r="289" spans="1:21" x14ac:dyDescent="0.45">
      <c r="A289">
        <f t="shared" si="58"/>
        <v>29</v>
      </c>
      <c r="D289" s="10">
        <v>46217</v>
      </c>
      <c r="E289" s="1" t="str">
        <f t="shared" si="59"/>
        <v>Tuesday</v>
      </c>
      <c r="F289" t="s">
        <v>16</v>
      </c>
      <c r="G289" s="2">
        <f>190.92+186+59.7</f>
        <v>436.61999999999995</v>
      </c>
      <c r="H289" s="47">
        <f>G289-24</f>
        <v>412.61999999999995</v>
      </c>
      <c r="I289" s="2">
        <v>8</v>
      </c>
      <c r="J289" s="2">
        <f t="shared" si="69"/>
        <v>1177</v>
      </c>
      <c r="K289" t="s">
        <v>18</v>
      </c>
      <c r="L289" s="6">
        <f t="shared" si="70"/>
        <v>51.577499999999993</v>
      </c>
      <c r="M289" s="24">
        <f>SUM(H$2:H289)</f>
        <v>67828.292499999996</v>
      </c>
      <c r="N289" s="24">
        <v>0</v>
      </c>
      <c r="P289" s="24">
        <v>0</v>
      </c>
      <c r="Q289" s="24">
        <v>0</v>
      </c>
      <c r="R289" t="s">
        <v>107</v>
      </c>
      <c r="S289" s="6">
        <v>6.9</v>
      </c>
      <c r="T289" s="6"/>
      <c r="U289" s="51"/>
    </row>
    <row r="290" spans="1:21" x14ac:dyDescent="0.45">
      <c r="A290">
        <f t="shared" si="58"/>
        <v>29</v>
      </c>
      <c r="D290" s="10">
        <v>46217</v>
      </c>
      <c r="E290" s="1" t="str">
        <f t="shared" si="59"/>
        <v>Tuesday</v>
      </c>
      <c r="F290" t="s">
        <v>67</v>
      </c>
      <c r="G290" s="2">
        <f>236.46+174.52</f>
        <v>410.98</v>
      </c>
      <c r="H290" s="47">
        <f t="shared" si="65"/>
        <v>394.98</v>
      </c>
      <c r="I290" s="2">
        <v>8</v>
      </c>
      <c r="J290" s="2">
        <f t="shared" si="69"/>
        <v>1177</v>
      </c>
      <c r="K290" t="s">
        <v>18</v>
      </c>
      <c r="L290" s="6">
        <f t="shared" si="70"/>
        <v>49.372500000000002</v>
      </c>
      <c r="M290" s="24">
        <f>SUM(H$2:H290)</f>
        <v>68223.272499999992</v>
      </c>
      <c r="N290" s="24">
        <v>0</v>
      </c>
      <c r="P290" s="24">
        <v>0</v>
      </c>
      <c r="Q290" s="24">
        <v>0</v>
      </c>
      <c r="R290" t="s">
        <v>86</v>
      </c>
      <c r="S290" s="6">
        <f>VLOOKUP(Table1[[#This Row],[Route]],'Dropdown Lists'!$M$2:$N$7,2,FALSE)</f>
        <v>13.7</v>
      </c>
      <c r="T290" s="6"/>
      <c r="U290" s="51"/>
    </row>
    <row r="291" spans="1:21" x14ac:dyDescent="0.45">
      <c r="A291">
        <f t="shared" si="58"/>
        <v>30</v>
      </c>
      <c r="D291" s="65">
        <v>46224</v>
      </c>
      <c r="E291" s="1" t="str">
        <f t="shared" si="59"/>
        <v>Tuesday</v>
      </c>
      <c r="F291" t="s">
        <v>69</v>
      </c>
      <c r="G291" s="2">
        <f>62.54+171.84</f>
        <v>234.38</v>
      </c>
      <c r="H291" s="47">
        <f t="shared" si="65"/>
        <v>218.38</v>
      </c>
      <c r="I291" s="2">
        <v>7</v>
      </c>
      <c r="J291" s="2">
        <f t="shared" ref="J291:J294" si="71">D291-$D$2</f>
        <v>1184</v>
      </c>
      <c r="K291" t="s">
        <v>18</v>
      </c>
      <c r="L291" s="6">
        <f t="shared" ref="L291:L294" si="72">H291/I291</f>
        <v>31.197142857142858</v>
      </c>
      <c r="M291" s="24">
        <f>SUM(H$2:H291)</f>
        <v>68441.652499999997</v>
      </c>
      <c r="N291" s="24">
        <v>0</v>
      </c>
      <c r="P291" s="24">
        <v>0</v>
      </c>
      <c r="Q291" s="24">
        <v>0</v>
      </c>
      <c r="R291" t="s">
        <v>113</v>
      </c>
      <c r="S291" s="6">
        <v>10.3</v>
      </c>
      <c r="T291" s="6"/>
      <c r="U291" s="51"/>
    </row>
    <row r="292" spans="1:21" x14ac:dyDescent="0.45">
      <c r="A292">
        <f t="shared" si="58"/>
        <v>30</v>
      </c>
      <c r="D292" s="65">
        <v>46224</v>
      </c>
      <c r="E292" s="1" t="str">
        <f t="shared" si="59"/>
        <v>Tuesday</v>
      </c>
      <c r="F292" t="s">
        <v>65</v>
      </c>
      <c r="G292" s="2">
        <f>237.48</f>
        <v>237.48</v>
      </c>
      <c r="H292" s="47">
        <f>G292-8</f>
        <v>229.48</v>
      </c>
      <c r="I292" s="2">
        <v>7</v>
      </c>
      <c r="J292" s="2">
        <f t="shared" si="71"/>
        <v>1184</v>
      </c>
      <c r="K292" t="s">
        <v>18</v>
      </c>
      <c r="L292" s="6">
        <f t="shared" si="72"/>
        <v>32.782857142857139</v>
      </c>
      <c r="M292" s="24">
        <f>SUM(H$2:H292)</f>
        <v>68671.132499999992</v>
      </c>
      <c r="N292" s="24">
        <v>0</v>
      </c>
      <c r="P292" s="24">
        <v>0</v>
      </c>
      <c r="Q292" s="24">
        <v>0</v>
      </c>
      <c r="R292" t="s">
        <v>111</v>
      </c>
      <c r="S292" s="6">
        <v>3.8</v>
      </c>
      <c r="T292" s="6"/>
      <c r="U292" s="51"/>
    </row>
    <row r="293" spans="1:21" x14ac:dyDescent="0.45">
      <c r="A293">
        <f t="shared" si="58"/>
        <v>30</v>
      </c>
      <c r="D293" s="65">
        <v>46224</v>
      </c>
      <c r="E293" s="1" t="str">
        <f t="shared" si="59"/>
        <v>Tuesday</v>
      </c>
      <c r="F293" t="s">
        <v>16</v>
      </c>
      <c r="G293" s="2">
        <f>206.44+165.96+25</f>
        <v>397.4</v>
      </c>
      <c r="H293" s="47">
        <f t="shared" si="65"/>
        <v>381.4</v>
      </c>
      <c r="I293" s="2">
        <v>7</v>
      </c>
      <c r="J293" s="2">
        <f t="shared" si="71"/>
        <v>1184</v>
      </c>
      <c r="K293" t="s">
        <v>18</v>
      </c>
      <c r="L293" s="6">
        <f t="shared" si="72"/>
        <v>54.48571428571428</v>
      </c>
      <c r="M293" s="24">
        <f>SUM(H$2:H293)</f>
        <v>69052.532499999987</v>
      </c>
      <c r="N293" s="24">
        <v>0</v>
      </c>
      <c r="P293" s="24">
        <v>0</v>
      </c>
      <c r="Q293" s="24">
        <v>0</v>
      </c>
      <c r="R293" t="s">
        <v>107</v>
      </c>
      <c r="S293" s="6">
        <v>6.9</v>
      </c>
      <c r="T293" s="6"/>
      <c r="U293" s="51"/>
    </row>
    <row r="294" spans="1:21" x14ac:dyDescent="0.45">
      <c r="A294">
        <f t="shared" si="58"/>
        <v>30</v>
      </c>
      <c r="D294" s="65">
        <v>46224</v>
      </c>
      <c r="E294" s="1" t="str">
        <f t="shared" si="59"/>
        <v>Tuesday</v>
      </c>
      <c r="F294" t="s">
        <v>67</v>
      </c>
      <c r="G294" s="2">
        <f>207.88+196.74</f>
        <v>404.62</v>
      </c>
      <c r="H294" s="47">
        <f>G294-16</f>
        <v>388.62</v>
      </c>
      <c r="I294" s="2">
        <v>7</v>
      </c>
      <c r="J294" s="2">
        <f t="shared" si="71"/>
        <v>1184</v>
      </c>
      <c r="K294" t="s">
        <v>18</v>
      </c>
      <c r="L294" s="6">
        <f t="shared" si="72"/>
        <v>55.517142857142858</v>
      </c>
      <c r="M294" s="24">
        <f>SUM(H$2:H294)</f>
        <v>69441.152499999982</v>
      </c>
      <c r="N294" s="24">
        <v>0</v>
      </c>
      <c r="P294" s="24">
        <v>0</v>
      </c>
      <c r="Q294" s="24">
        <v>0</v>
      </c>
      <c r="R294" t="s">
        <v>86</v>
      </c>
      <c r="S294" s="6">
        <f>VLOOKUP(Table1[[#This Row],[Route]],'Dropdown Lists'!$M$2:$N$7,2,FALSE)</f>
        <v>13.7</v>
      </c>
      <c r="T294" s="6"/>
      <c r="U294" s="51"/>
    </row>
    <row r="295" spans="1:21" x14ac:dyDescent="0.45">
      <c r="A295">
        <f t="shared" si="58"/>
        <v>31</v>
      </c>
      <c r="D295" s="10">
        <v>46231</v>
      </c>
      <c r="E295" s="1" t="str">
        <f t="shared" si="59"/>
        <v>Tuesday</v>
      </c>
      <c r="F295" t="s">
        <v>67</v>
      </c>
      <c r="G295" s="2">
        <f>205.64+248.18</f>
        <v>453.82</v>
      </c>
      <c r="H295" s="47">
        <f t="shared" ref="H295:H298" si="73">G295-16</f>
        <v>437.82</v>
      </c>
      <c r="I295" s="2">
        <v>7</v>
      </c>
      <c r="J295" s="2">
        <f t="shared" ref="J295:J298" si="74">D295-$D$2</f>
        <v>1191</v>
      </c>
      <c r="K295" t="s">
        <v>18</v>
      </c>
      <c r="L295" s="6">
        <f t="shared" ref="L295:L298" si="75">H295/I295</f>
        <v>62.545714285714283</v>
      </c>
      <c r="M295" s="24">
        <f>SUM(H$2:H295)</f>
        <v>69878.972499999989</v>
      </c>
      <c r="N295" s="24">
        <v>0</v>
      </c>
      <c r="P295" s="24">
        <v>0</v>
      </c>
      <c r="Q295" s="24">
        <v>0</v>
      </c>
      <c r="R295" t="s">
        <v>114</v>
      </c>
      <c r="S295" s="6">
        <v>7.5</v>
      </c>
      <c r="T295" s="6"/>
      <c r="U295" s="51"/>
    </row>
    <row r="296" spans="1:21" x14ac:dyDescent="0.45">
      <c r="A296">
        <f t="shared" si="58"/>
        <v>31</v>
      </c>
      <c r="D296" s="10">
        <v>46231</v>
      </c>
      <c r="E296" s="1" t="str">
        <f t="shared" si="59"/>
        <v>Tuesday</v>
      </c>
      <c r="F296" t="s">
        <v>16</v>
      </c>
      <c r="G296" s="2">
        <f>111.2+206.62</f>
        <v>317.82</v>
      </c>
      <c r="H296" s="47">
        <f t="shared" si="73"/>
        <v>301.82</v>
      </c>
      <c r="I296" s="2">
        <v>7</v>
      </c>
      <c r="J296" s="2">
        <f t="shared" si="74"/>
        <v>1191</v>
      </c>
      <c r="K296" t="s">
        <v>18</v>
      </c>
      <c r="L296" s="6">
        <f t="shared" si="75"/>
        <v>43.117142857142859</v>
      </c>
      <c r="M296" s="24">
        <f>SUM(H$2:H296)</f>
        <v>70180.792499999996</v>
      </c>
      <c r="N296" s="24">
        <v>0</v>
      </c>
      <c r="P296" s="24">
        <v>0</v>
      </c>
      <c r="Q296" s="24">
        <v>0</v>
      </c>
      <c r="R296" t="s">
        <v>115</v>
      </c>
      <c r="S296" s="6">
        <v>2.2999999999999998</v>
      </c>
      <c r="T296" s="6"/>
      <c r="U296" s="51"/>
    </row>
    <row r="297" spans="1:21" x14ac:dyDescent="0.45">
      <c r="A297">
        <f t="shared" si="58"/>
        <v>31</v>
      </c>
      <c r="D297" s="10">
        <v>46231</v>
      </c>
      <c r="E297" s="1" t="str">
        <f t="shared" si="59"/>
        <v>Tuesday</v>
      </c>
      <c r="F297" t="s">
        <v>65</v>
      </c>
      <c r="G297" s="2">
        <v>217.4</v>
      </c>
      <c r="H297" s="47">
        <f>G297-8</f>
        <v>209.4</v>
      </c>
      <c r="I297" s="2">
        <v>7</v>
      </c>
      <c r="J297" s="2">
        <f t="shared" si="74"/>
        <v>1191</v>
      </c>
      <c r="K297" t="s">
        <v>18</v>
      </c>
      <c r="L297" s="6">
        <f t="shared" si="75"/>
        <v>29.914285714285715</v>
      </c>
      <c r="M297" s="24">
        <f>SUM(H$2:H297)</f>
        <v>70390.19249999999</v>
      </c>
      <c r="N297" s="24">
        <v>0</v>
      </c>
      <c r="P297" s="24">
        <v>0</v>
      </c>
      <c r="Q297" s="24">
        <v>0</v>
      </c>
      <c r="R297" t="s">
        <v>116</v>
      </c>
      <c r="S297" s="6">
        <v>1.9</v>
      </c>
      <c r="T297" s="6"/>
      <c r="U297" s="51"/>
    </row>
    <row r="298" spans="1:21" x14ac:dyDescent="0.45">
      <c r="A298">
        <f t="shared" si="58"/>
        <v>31</v>
      </c>
      <c r="D298" s="10">
        <v>46231</v>
      </c>
      <c r="E298" s="1" t="str">
        <f t="shared" si="59"/>
        <v>Tuesday</v>
      </c>
      <c r="F298" t="s">
        <v>69</v>
      </c>
      <c r="G298" s="2">
        <v>215.06</v>
      </c>
      <c r="H298" s="47">
        <f>G298-8</f>
        <v>207.06</v>
      </c>
      <c r="I298" s="2">
        <v>7</v>
      </c>
      <c r="J298" s="2">
        <f t="shared" si="74"/>
        <v>1191</v>
      </c>
      <c r="K298" t="s">
        <v>18</v>
      </c>
      <c r="L298" s="6">
        <f t="shared" si="75"/>
        <v>29.580000000000002</v>
      </c>
      <c r="M298" s="24">
        <f>SUM(H$2:H298)</f>
        <v>70597.252499999988</v>
      </c>
      <c r="N298" s="24">
        <v>0</v>
      </c>
      <c r="P298" s="24">
        <v>0</v>
      </c>
      <c r="Q298" s="24">
        <v>0</v>
      </c>
      <c r="R298" t="s">
        <v>117</v>
      </c>
      <c r="S298" s="6">
        <v>14.2</v>
      </c>
      <c r="T298" s="6"/>
      <c r="U298" s="51"/>
    </row>
  </sheetData>
  <phoneticPr fontId="6" type="noConversion"/>
  <conditionalFormatting sqref="G62:G65 G1:G50 G52:G59 G67:G86 G155:G163 G165 G88:G153 G167:G209 G211 G213:G225 G227:G1048576">
    <cfRule type="top10" dxfId="22" priority="172" rank="1"/>
  </conditionalFormatting>
  <conditionalFormatting sqref="H1 H204:H1048576">
    <cfRule type="top10" dxfId="21" priority="173" bottom="1" rank="1"/>
    <cfRule type="top10" dxfId="20" priority="174" rank="3"/>
  </conditionalFormatting>
  <conditionalFormatting sqref="H2:H298">
    <cfRule type="top10" dxfId="19" priority="163" rank="1"/>
  </conditionalFormatting>
  <conditionalFormatting sqref="I1:I298">
    <cfRule type="top10" dxfId="18" priority="170" rank="1"/>
  </conditionalFormatting>
  <conditionalFormatting sqref="L1:M218 N155:O186 N188:O218 L219:O240 N1:O152 L241:M298 N241:O1048576">
    <cfRule type="top10" dxfId="17" priority="181" bottom="1" rank="1"/>
  </conditionalFormatting>
  <conditionalFormatting sqref="N187 P187:Q187">
    <cfRule type="top10" dxfId="16" priority="4" rank="1"/>
  </conditionalFormatting>
  <conditionalFormatting sqref="O187">
    <cfRule type="top10" dxfId="15" priority="1" bottom="1" rank="1"/>
  </conditionalFormatting>
  <conditionalFormatting sqref="P1 P204:P1048576">
    <cfRule type="top10" dxfId="14" priority="187" rank="1"/>
  </conditionalFormatting>
  <conditionalFormatting sqref="P2:P152 P155:P186 P188:P203">
    <cfRule type="top10" dxfId="13" priority="3" bottom="1" rank="1"/>
  </conditionalFormatting>
  <conditionalFormatting sqref="Q2:Q152 Q155:Q186 Q188:Q218">
    <cfRule type="top10" dxfId="12" priority="2" bottom="1" rank="1"/>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4">
        <x14:dataValidation type="list" allowBlank="1" showInputMessage="1" showErrorMessage="1" xr:uid="{C27894E3-C641-4A32-9344-EDD98F997C4A}">
          <x14:formula1>
            <xm:f>'Dropdown Lists'!$C$2:$C$43</xm:f>
          </x14:formula1>
          <xm:sqref>F1:F298</xm:sqref>
        </x14:dataValidation>
        <x14:dataValidation type="list" allowBlank="1" showInputMessage="1" showErrorMessage="1" xr:uid="{C5A4C8F7-FD70-4599-A315-24E47F76D9A3}">
          <x14:formula1>
            <xm:f>'Dropdown Lists'!$K$2:$K$4</xm:f>
          </x14:formula1>
          <xm:sqref>K1:K298</xm:sqref>
        </x14:dataValidation>
        <x14:dataValidation type="list" allowBlank="1" showInputMessage="1" showErrorMessage="1" xr:uid="{313638A4-010D-4BD8-9379-CB137E36005C}">
          <x14:formula1>
            <xm:f>'Dropdown Lists'!$M$2:$M$4</xm:f>
          </x14:formula1>
          <xm:sqref>R2:R203 R226</xm:sqref>
        </x14:dataValidation>
        <x14:dataValidation type="list" allowBlank="1" showInputMessage="1" showErrorMessage="1" xr:uid="{599C12A4-8AFB-40CA-A2ED-B6BF908EE22C}">
          <x14:formula1>
            <xm:f>'Dropdown Lists'!$M$2:$M$7</xm:f>
          </x14:formula1>
          <xm:sqref>R204:R215 R217:R218 R220:R225 R227:R232 R235:R236 R238 R253:R254 R274 R256:R270 R278 R286 R282 R290 R294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B1755-7C23-4B7C-B561-DA600CB31AC9}">
  <sheetPr>
    <tabColor rgb="FF00B050"/>
  </sheetPr>
  <dimension ref="A2:BF272"/>
  <sheetViews>
    <sheetView zoomScaleNormal="100" workbookViewId="0">
      <selection activeCell="E33" sqref="E33"/>
    </sheetView>
  </sheetViews>
  <sheetFormatPr defaultColWidth="9" defaultRowHeight="13.9" x14ac:dyDescent="0.35"/>
  <cols>
    <col min="1" max="1" width="3.59765625" style="13" customWidth="1"/>
    <col min="2" max="2" width="12.33203125" style="13" bestFit="1" customWidth="1"/>
    <col min="3" max="3" width="13" style="17" bestFit="1" customWidth="1"/>
    <col min="4" max="4" width="12.46484375" style="13" bestFit="1" customWidth="1"/>
    <col min="5" max="5" width="11.53125" style="13" bestFit="1" customWidth="1"/>
    <col min="6" max="6" width="9.1328125" style="13" customWidth="1"/>
    <col min="7" max="7" width="4" style="13" customWidth="1"/>
    <col min="8" max="8" width="21.3984375" style="15" bestFit="1" customWidth="1"/>
    <col min="9" max="9" width="9.9296875" style="16" bestFit="1" customWidth="1"/>
    <col min="10" max="10" width="15.59765625" style="17" bestFit="1" customWidth="1"/>
    <col min="11" max="11" width="8.73046875" style="17" bestFit="1" customWidth="1"/>
    <col min="12" max="12" width="3.73046875" style="17" bestFit="1" customWidth="1"/>
    <col min="13" max="13" width="8.1328125" style="13" customWidth="1"/>
    <col min="14" max="14" width="6.06640625" style="13" bestFit="1" customWidth="1"/>
    <col min="15" max="15" width="15.73046875" style="13" hidden="1" customWidth="1"/>
    <col min="16" max="16" width="4.46484375" style="13" bestFit="1" customWidth="1"/>
    <col min="17" max="17" width="5" style="13" bestFit="1" customWidth="1"/>
    <col min="18" max="18" width="4.73046875" style="13" bestFit="1" customWidth="1"/>
    <col min="19" max="19" width="4.33203125" style="13" bestFit="1" customWidth="1"/>
    <col min="20" max="21" width="9.1328125" style="13" bestFit="1" customWidth="1"/>
    <col min="22" max="31" width="13.59765625" style="13" bestFit="1" customWidth="1"/>
    <col min="32" max="32" width="9.86328125" style="13" bestFit="1" customWidth="1"/>
    <col min="33" max="33" width="16.265625" style="13" bestFit="1" customWidth="1"/>
    <col min="34" max="34" width="15.3984375" style="13" bestFit="1" customWidth="1"/>
    <col min="35" max="52" width="12.3984375" style="13" bestFit="1" customWidth="1"/>
    <col min="53" max="53" width="9.86328125" style="13" bestFit="1" customWidth="1"/>
    <col min="54" max="54" width="16.265625" style="13" bestFit="1" customWidth="1"/>
    <col min="55" max="55" width="15.3984375" style="13" bestFit="1" customWidth="1"/>
    <col min="56" max="56" width="10" style="13" bestFit="1" customWidth="1"/>
    <col min="57" max="57" width="16.3984375" style="13" bestFit="1" customWidth="1"/>
    <col min="58" max="58" width="15.59765625" style="13" bestFit="1" customWidth="1"/>
    <col min="59" max="16384" width="9" style="13"/>
  </cols>
  <sheetData>
    <row r="2" spans="1:20" x14ac:dyDescent="0.35">
      <c r="A2" s="25"/>
      <c r="B2" s="26"/>
      <c r="C2" s="26"/>
      <c r="D2" s="26"/>
      <c r="E2" s="25"/>
      <c r="F2" s="26"/>
      <c r="G2" s="26"/>
      <c r="H2" s="26"/>
      <c r="I2" s="25"/>
      <c r="J2" s="26"/>
      <c r="K2" s="26"/>
      <c r="L2" s="26"/>
    </row>
    <row r="3" spans="1:20" ht="19.149999999999999" x14ac:dyDescent="0.45">
      <c r="B3" s="14" t="s">
        <v>19</v>
      </c>
      <c r="H3" s="18" t="s">
        <v>20</v>
      </c>
      <c r="I3" s="13"/>
      <c r="J3" s="13"/>
      <c r="K3" s="13"/>
      <c r="L3" s="13"/>
    </row>
    <row r="4" spans="1:20" ht="56.65" thickBot="1" x14ac:dyDescent="0.5">
      <c r="B4" s="33" t="s">
        <v>21</v>
      </c>
      <c r="C4" s="34"/>
      <c r="D4" s="21"/>
      <c r="H4" s="36" t="s">
        <v>3</v>
      </c>
      <c r="I4" s="36" t="s">
        <v>22</v>
      </c>
      <c r="J4" s="36" t="s">
        <v>23</v>
      </c>
      <c r="K4" s="36" t="s">
        <v>24</v>
      </c>
      <c r="L4"/>
      <c r="M4"/>
      <c r="N4" s="18" t="s">
        <v>25</v>
      </c>
      <c r="O4" s="17"/>
      <c r="P4" s="17"/>
      <c r="Q4" s="17"/>
      <c r="R4"/>
    </row>
    <row r="5" spans="1:20" ht="15.75" x14ac:dyDescent="0.45">
      <c r="B5" s="59" t="s">
        <v>26</v>
      </c>
      <c r="C5" s="60">
        <v>58635.442500000005</v>
      </c>
      <c r="D5" s="22" t="s">
        <v>27</v>
      </c>
      <c r="G5" s="19">
        <v>1</v>
      </c>
      <c r="H5" s="53">
        <v>46111</v>
      </c>
      <c r="I5" s="35">
        <v>587.07999999999993</v>
      </c>
      <c r="J5" s="35">
        <v>83.868571428571414</v>
      </c>
      <c r="K5" s="58">
        <v>7</v>
      </c>
      <c r="L5"/>
      <c r="M5"/>
      <c r="N5" s="32" t="s">
        <v>28</v>
      </c>
      <c r="O5"/>
      <c r="P5"/>
      <c r="Q5"/>
      <c r="R5"/>
      <c r="S5"/>
      <c r="T5"/>
    </row>
    <row r="6" spans="1:20" ht="15.75" x14ac:dyDescent="0.45">
      <c r="B6" s="59" t="s">
        <v>29</v>
      </c>
      <c r="C6" s="60">
        <v>254</v>
      </c>
      <c r="D6" s="22"/>
      <c r="G6" s="19">
        <v>2</v>
      </c>
      <c r="H6" s="41">
        <v>45250</v>
      </c>
      <c r="I6" s="35">
        <v>570</v>
      </c>
      <c r="J6" s="35">
        <v>71.25</v>
      </c>
      <c r="K6" s="58">
        <v>8</v>
      </c>
      <c r="L6"/>
      <c r="M6"/>
      <c r="N6" s="32">
        <v>58635.442500000005</v>
      </c>
      <c r="O6"/>
      <c r="P6"/>
      <c r="Q6"/>
      <c r="R6"/>
      <c r="S6"/>
      <c r="T6"/>
    </row>
    <row r="7" spans="1:20" ht="15.75" x14ac:dyDescent="0.45">
      <c r="B7" s="59" t="s">
        <v>32</v>
      </c>
      <c r="C7" s="61">
        <v>5.3320158102766797</v>
      </c>
      <c r="D7" s="22" t="s">
        <v>33</v>
      </c>
      <c r="G7" s="19">
        <v>3</v>
      </c>
      <c r="H7" s="41">
        <v>45706</v>
      </c>
      <c r="I7" s="35">
        <v>556.22</v>
      </c>
      <c r="J7" s="35">
        <v>50.56545454545455</v>
      </c>
      <c r="K7" s="58">
        <v>11</v>
      </c>
      <c r="L7"/>
      <c r="M7"/>
      <c r="N7"/>
      <c r="O7"/>
      <c r="P7"/>
      <c r="Q7"/>
      <c r="R7"/>
      <c r="S7"/>
      <c r="T7"/>
    </row>
    <row r="8" spans="1:20" ht="15.75" x14ac:dyDescent="0.45">
      <c r="B8" s="59" t="s">
        <v>34</v>
      </c>
      <c r="C8" s="61">
        <v>230.84819881889766</v>
      </c>
      <c r="D8" s="22" t="s">
        <v>27</v>
      </c>
      <c r="G8" s="19">
        <v>4</v>
      </c>
      <c r="H8" s="41">
        <v>45717</v>
      </c>
      <c r="I8" s="35">
        <v>525.88</v>
      </c>
      <c r="J8" s="35">
        <v>47.807272727272725</v>
      </c>
      <c r="K8" s="58">
        <v>11</v>
      </c>
      <c r="L8"/>
      <c r="M8"/>
      <c r="N8"/>
      <c r="O8"/>
      <c r="P8"/>
      <c r="Q8"/>
      <c r="R8"/>
      <c r="S8"/>
      <c r="T8"/>
    </row>
    <row r="9" spans="1:20" ht="14.65" x14ac:dyDescent="0.45">
      <c r="B9"/>
      <c r="C9"/>
      <c r="G9" s="19">
        <v>5</v>
      </c>
      <c r="H9" s="53">
        <v>46090</v>
      </c>
      <c r="I9" s="35">
        <v>519.48</v>
      </c>
      <c r="J9" s="35">
        <v>57.72</v>
      </c>
      <c r="K9" s="58">
        <v>9</v>
      </c>
      <c r="L9"/>
      <c r="M9"/>
      <c r="N9"/>
      <c r="O9"/>
      <c r="P9"/>
      <c r="Q9"/>
      <c r="R9"/>
      <c r="S9"/>
      <c r="T9"/>
    </row>
    <row r="10" spans="1:20" ht="15.75" x14ac:dyDescent="0.45">
      <c r="B10" s="23" t="s">
        <v>35</v>
      </c>
      <c r="C10" s="49">
        <f>C5/MAX('Collection DB'!J$1:J$298)</f>
        <v>49.232109571788421</v>
      </c>
      <c r="D10" s="22" t="s">
        <v>27</v>
      </c>
      <c r="G10" s="19">
        <v>6</v>
      </c>
      <c r="H10" s="41">
        <v>45608</v>
      </c>
      <c r="I10" s="35">
        <v>518</v>
      </c>
      <c r="J10" s="35">
        <v>8.09375</v>
      </c>
      <c r="K10" s="58">
        <v>64</v>
      </c>
      <c r="L10"/>
      <c r="M10"/>
      <c r="N10"/>
      <c r="O10"/>
      <c r="P10"/>
      <c r="Q10"/>
      <c r="R10"/>
      <c r="S10"/>
      <c r="T10"/>
    </row>
    <row r="11" spans="1:20" ht="14.65" x14ac:dyDescent="0.45">
      <c r="C11" s="17">
        <f>C10*7</f>
        <v>344.62476700251892</v>
      </c>
      <c r="G11" s="19">
        <v>7</v>
      </c>
      <c r="H11" s="41">
        <v>45736</v>
      </c>
      <c r="I11" s="35">
        <v>504.78</v>
      </c>
      <c r="J11" s="35">
        <v>56.086666666666666</v>
      </c>
      <c r="K11" s="58">
        <v>9</v>
      </c>
      <c r="L11"/>
      <c r="M11"/>
      <c r="N11"/>
      <c r="O11"/>
      <c r="P11"/>
      <c r="Q11"/>
      <c r="R11"/>
      <c r="S11"/>
      <c r="T11"/>
    </row>
    <row r="12" spans="1:20" ht="19.149999999999999" x14ac:dyDescent="0.45">
      <c r="B12" s="18" t="s">
        <v>36</v>
      </c>
      <c r="D12" s="17"/>
      <c r="E12" s="17"/>
      <c r="G12" s="19">
        <v>8</v>
      </c>
      <c r="H12" s="53">
        <v>46146</v>
      </c>
      <c r="I12" s="35">
        <v>503.45999999999992</v>
      </c>
      <c r="J12" s="35">
        <v>71.922857142857126</v>
      </c>
      <c r="K12" s="58">
        <v>7</v>
      </c>
      <c r="L12"/>
      <c r="M12"/>
      <c r="N12"/>
      <c r="O12"/>
      <c r="P12"/>
      <c r="Q12"/>
      <c r="R12"/>
      <c r="S12"/>
      <c r="T12"/>
    </row>
    <row r="13" spans="1:20" ht="14.65" x14ac:dyDescent="0.45">
      <c r="B13" s="57" t="s">
        <v>30</v>
      </c>
      <c r="C13" s="31" t="s">
        <v>28</v>
      </c>
      <c r="D13" s="31" t="s">
        <v>37</v>
      </c>
      <c r="E13" s="31" t="s">
        <v>38</v>
      </c>
      <c r="G13" s="19">
        <v>9</v>
      </c>
      <c r="H13" s="53">
        <v>46062</v>
      </c>
      <c r="I13" s="35">
        <v>500.85999999999996</v>
      </c>
      <c r="J13" s="35">
        <v>71.551428571428559</v>
      </c>
      <c r="K13" s="58">
        <v>7</v>
      </c>
      <c r="L13"/>
      <c r="M13"/>
      <c r="N13"/>
      <c r="O13"/>
      <c r="P13"/>
      <c r="Q13"/>
      <c r="R13"/>
      <c r="S13"/>
      <c r="T13"/>
    </row>
    <row r="14" spans="1:20" ht="14.65" x14ac:dyDescent="0.45">
      <c r="A14" s="20">
        <v>1</v>
      </c>
      <c r="B14" s="62" t="s">
        <v>39</v>
      </c>
      <c r="C14" s="35">
        <v>26027.900000000016</v>
      </c>
      <c r="D14" s="58">
        <v>91</v>
      </c>
      <c r="E14" s="35">
        <v>286.02087912087927</v>
      </c>
      <c r="G14" s="19" t="s">
        <v>40</v>
      </c>
      <c r="H14" s="41">
        <v>45523</v>
      </c>
      <c r="I14" s="35">
        <v>499</v>
      </c>
      <c r="J14" s="35">
        <v>83.166666666666671</v>
      </c>
      <c r="K14" s="58">
        <v>6</v>
      </c>
      <c r="L14"/>
      <c r="M14"/>
      <c r="N14"/>
      <c r="O14"/>
      <c r="P14"/>
      <c r="Q14"/>
      <c r="R14"/>
      <c r="S14"/>
      <c r="T14"/>
    </row>
    <row r="15" spans="1:20" ht="14.65" x14ac:dyDescent="0.45">
      <c r="A15" s="20">
        <v>2</v>
      </c>
      <c r="B15" s="62" t="s">
        <v>42</v>
      </c>
      <c r="C15" s="35">
        <v>7167.1924999999983</v>
      </c>
      <c r="D15" s="58">
        <v>32</v>
      </c>
      <c r="E15" s="35">
        <v>223.97476562499995</v>
      </c>
      <c r="F15" s="19"/>
      <c r="H15"/>
      <c r="I15"/>
      <c r="J15"/>
      <c r="K15"/>
      <c r="L15"/>
      <c r="M15"/>
      <c r="N15"/>
      <c r="O15"/>
      <c r="P15"/>
      <c r="Q15"/>
      <c r="R15"/>
      <c r="S15"/>
      <c r="T15"/>
    </row>
    <row r="16" spans="1:20" ht="14.65" x14ac:dyDescent="0.45">
      <c r="A16" s="15">
        <v>3</v>
      </c>
      <c r="B16" s="62" t="s">
        <v>43</v>
      </c>
      <c r="C16" s="63">
        <v>6726.2599999999993</v>
      </c>
      <c r="D16" s="58">
        <v>34</v>
      </c>
      <c r="E16" s="35">
        <v>197.83117647058822</v>
      </c>
      <c r="H16"/>
      <c r="I16"/>
      <c r="J16"/>
      <c r="K16"/>
      <c r="L16"/>
      <c r="M16"/>
      <c r="N16"/>
      <c r="O16"/>
      <c r="P16"/>
      <c r="Q16"/>
      <c r="R16"/>
      <c r="S16"/>
      <c r="T16"/>
    </row>
    <row r="17" spans="1:58" ht="14.65" x14ac:dyDescent="0.45">
      <c r="A17" s="20">
        <v>4</v>
      </c>
      <c r="B17" s="62" t="s">
        <v>41</v>
      </c>
      <c r="C17" s="35">
        <v>5674.96</v>
      </c>
      <c r="D17" s="58">
        <v>31</v>
      </c>
      <c r="E17" s="35">
        <v>183.06322580645161</v>
      </c>
      <c r="H17"/>
      <c r="I17"/>
      <c r="J17"/>
      <c r="K17"/>
      <c r="L17"/>
      <c r="M17"/>
      <c r="N17"/>
      <c r="O17"/>
      <c r="P17"/>
      <c r="Q17"/>
      <c r="R17"/>
      <c r="S17"/>
      <c r="T17"/>
    </row>
    <row r="18" spans="1:58" ht="14.65" x14ac:dyDescent="0.45">
      <c r="A18" s="20">
        <v>5</v>
      </c>
      <c r="B18" s="62" t="s">
        <v>44</v>
      </c>
      <c r="C18" s="35">
        <v>5308.2900000000018</v>
      </c>
      <c r="D18" s="58">
        <v>26</v>
      </c>
      <c r="E18" s="35">
        <v>204.16500000000008</v>
      </c>
      <c r="H18"/>
      <c r="I18"/>
      <c r="J18"/>
      <c r="K18"/>
      <c r="L18"/>
      <c r="M18"/>
      <c r="N18"/>
      <c r="O18"/>
      <c r="P18"/>
      <c r="Q18"/>
      <c r="R18"/>
      <c r="S18"/>
      <c r="T18"/>
    </row>
    <row r="19" spans="1:58" ht="14.65" x14ac:dyDescent="0.45">
      <c r="A19" s="15">
        <v>6</v>
      </c>
      <c r="B19" s="62" t="s">
        <v>47</v>
      </c>
      <c r="C19" s="35">
        <v>4023.7599999999998</v>
      </c>
      <c r="D19" s="58">
        <v>19</v>
      </c>
      <c r="E19" s="35">
        <v>211.77684210526314</v>
      </c>
      <c r="G19"/>
      <c r="H19"/>
      <c r="I19"/>
      <c r="J19"/>
      <c r="K19" t="s">
        <v>46</v>
      </c>
      <c r="L19"/>
      <c r="M19"/>
      <c r="N19"/>
      <c r="O19"/>
      <c r="P19"/>
      <c r="Q19"/>
      <c r="R19"/>
      <c r="S19"/>
      <c r="T19"/>
    </row>
    <row r="20" spans="1:58" ht="14.65" x14ac:dyDescent="0.45">
      <c r="A20" s="20">
        <v>7</v>
      </c>
      <c r="B20" s="62" t="s">
        <v>45</v>
      </c>
      <c r="C20" s="35">
        <v>3707.08</v>
      </c>
      <c r="D20" s="58">
        <v>21</v>
      </c>
      <c r="E20" s="35">
        <v>176.52761904761905</v>
      </c>
      <c r="G20"/>
      <c r="H20"/>
      <c r="I20"/>
      <c r="J20"/>
      <c r="K20"/>
      <c r="L20"/>
      <c r="M20"/>
      <c r="N20"/>
      <c r="O20"/>
      <c r="P20"/>
      <c r="Q20"/>
      <c r="R20"/>
      <c r="S20"/>
      <c r="T20"/>
    </row>
    <row r="21" spans="1:58" ht="14.65" x14ac:dyDescent="0.45">
      <c r="A21" s="15"/>
      <c r="B21" s="57" t="s">
        <v>31</v>
      </c>
      <c r="C21" s="32">
        <v>58635.442500000019</v>
      </c>
      <c r="D21" s="32">
        <v>254</v>
      </c>
      <c r="E21" s="32">
        <v>230.84819881889771</v>
      </c>
      <c r="G21"/>
      <c r="H21"/>
      <c r="I21"/>
      <c r="J21"/>
      <c r="K21"/>
      <c r="L21"/>
      <c r="M21"/>
      <c r="N21"/>
      <c r="O21"/>
    </row>
    <row r="22" spans="1:58" ht="14.65" x14ac:dyDescent="0.45">
      <c r="A22" s="15"/>
      <c r="B22"/>
      <c r="C22"/>
      <c r="D22"/>
      <c r="E22"/>
      <c r="G22"/>
      <c r="H22"/>
      <c r="I22"/>
      <c r="J22"/>
      <c r="K22"/>
      <c r="L22"/>
      <c r="M22"/>
      <c r="N22"/>
      <c r="O22"/>
    </row>
    <row r="23" spans="1:58" ht="14.65" x14ac:dyDescent="0.45">
      <c r="A23" s="15"/>
      <c r="B23" s="16"/>
      <c r="D23" s="17"/>
      <c r="E23" s="17"/>
      <c r="G23"/>
      <c r="H23"/>
      <c r="I23"/>
      <c r="J23"/>
      <c r="K23"/>
      <c r="L23"/>
      <c r="M23"/>
      <c r="N23"/>
      <c r="O23"/>
    </row>
    <row r="24" spans="1:58" ht="14.65" x14ac:dyDescent="0.45">
      <c r="A24" s="15"/>
      <c r="B24" s="38" t="s">
        <v>30</v>
      </c>
      <c r="C24" t="s">
        <v>71</v>
      </c>
      <c r="D24"/>
      <c r="G24"/>
      <c r="H24"/>
      <c r="I24"/>
      <c r="J24"/>
      <c r="K24"/>
      <c r="L24"/>
      <c r="M24"/>
      <c r="N24"/>
      <c r="O24"/>
      <c r="S24"/>
    </row>
    <row r="25" spans="1:58" ht="14.65" x14ac:dyDescent="0.45">
      <c r="A25" s="15"/>
      <c r="B25">
        <v>1</v>
      </c>
      <c r="C25" s="54">
        <v>557.14</v>
      </c>
      <c r="D25"/>
      <c r="G25"/>
      <c r="H25"/>
      <c r="I25" s="29"/>
      <c r="J25"/>
      <c r="K25"/>
      <c r="L25"/>
      <c r="M25"/>
      <c r="N25"/>
      <c r="O25"/>
      <c r="P25"/>
      <c r="Q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row>
    <row r="26" spans="1:58" ht="14.65" x14ac:dyDescent="0.45">
      <c r="A26" s="15"/>
      <c r="B26">
        <v>2</v>
      </c>
      <c r="C26" s="54">
        <v>1414.44</v>
      </c>
      <c r="D26"/>
      <c r="G26"/>
      <c r="H26"/>
      <c r="I26" s="29"/>
      <c r="J26"/>
      <c r="K26"/>
      <c r="L26"/>
      <c r="M26"/>
      <c r="N26"/>
      <c r="O26"/>
      <c r="P26"/>
      <c r="Q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row>
    <row r="27" spans="1:58" ht="14.65" x14ac:dyDescent="0.45">
      <c r="A27" s="19"/>
      <c r="B27">
        <v>3</v>
      </c>
      <c r="C27" s="54">
        <v>541.54999999999995</v>
      </c>
      <c r="D27"/>
      <c r="G27"/>
      <c r="H27"/>
      <c r="I27" s="29"/>
      <c r="J27"/>
      <c r="K27"/>
      <c r="L27"/>
      <c r="M27"/>
      <c r="N27"/>
      <c r="O27"/>
      <c r="P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row>
    <row r="28" spans="1:58" ht="14.65" x14ac:dyDescent="0.45">
      <c r="A28" s="19"/>
      <c r="B28">
        <v>4</v>
      </c>
      <c r="C28" s="54">
        <v>2158.58</v>
      </c>
      <c r="D28"/>
      <c r="G28"/>
      <c r="H28"/>
      <c r="I28" s="29"/>
      <c r="J28"/>
      <c r="K28"/>
      <c r="L28"/>
      <c r="M28"/>
      <c r="N28"/>
      <c r="O28"/>
      <c r="P28"/>
      <c r="Q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row>
    <row r="29" spans="1:58" ht="14.65" x14ac:dyDescent="0.45">
      <c r="A29" s="19"/>
      <c r="B29">
        <v>5</v>
      </c>
      <c r="C29" s="54">
        <v>1621.1999999999998</v>
      </c>
      <c r="D29"/>
      <c r="G29"/>
      <c r="H29"/>
      <c r="I29"/>
      <c r="J29"/>
      <c r="K29"/>
      <c r="L29"/>
      <c r="M29"/>
      <c r="N29"/>
      <c r="O29"/>
      <c r="P29"/>
      <c r="Q29"/>
      <c r="T29"/>
      <c r="U29"/>
    </row>
    <row r="30" spans="1:58" ht="14.65" x14ac:dyDescent="0.45">
      <c r="A30" s="19"/>
      <c r="B30">
        <v>6</v>
      </c>
      <c r="C30" s="54">
        <v>1939.9800000000002</v>
      </c>
      <c r="D30"/>
      <c r="G30"/>
      <c r="H30"/>
      <c r="I30"/>
      <c r="J30"/>
      <c r="K30"/>
      <c r="L30"/>
      <c r="M30"/>
      <c r="N30"/>
      <c r="O30"/>
    </row>
    <row r="31" spans="1:58" ht="14.65" x14ac:dyDescent="0.45">
      <c r="A31" s="19"/>
      <c r="B31">
        <v>7</v>
      </c>
      <c r="C31" s="54">
        <v>1765.8400000000001</v>
      </c>
      <c r="D31"/>
      <c r="G31"/>
      <c r="H31"/>
      <c r="I31"/>
      <c r="J31"/>
      <c r="K31"/>
      <c r="L31"/>
      <c r="M31"/>
      <c r="N31"/>
      <c r="O31"/>
    </row>
    <row r="32" spans="1:58" ht="14.65" x14ac:dyDescent="0.45">
      <c r="A32" s="19"/>
      <c r="B32">
        <v>8</v>
      </c>
      <c r="C32" s="54">
        <v>2040.6399999999999</v>
      </c>
      <c r="D32"/>
      <c r="G32"/>
      <c r="H32"/>
      <c r="I32"/>
      <c r="J32"/>
      <c r="K32"/>
      <c r="L32"/>
      <c r="M32"/>
      <c r="N32"/>
      <c r="O32"/>
    </row>
    <row r="33" spans="1:15" ht="14.65" x14ac:dyDescent="0.45">
      <c r="A33" s="19"/>
      <c r="B33">
        <v>9</v>
      </c>
      <c r="C33" s="54">
        <v>2880.7400000000002</v>
      </c>
      <c r="D33"/>
      <c r="G33"/>
      <c r="H33"/>
      <c r="I33"/>
      <c r="J33"/>
      <c r="K33"/>
      <c r="L33"/>
      <c r="M33"/>
      <c r="N33"/>
      <c r="O33"/>
    </row>
    <row r="34" spans="1:15" ht="14.65" x14ac:dyDescent="0.45">
      <c r="A34" s="19"/>
      <c r="B34">
        <v>10</v>
      </c>
      <c r="C34" s="54">
        <v>976.11000000000013</v>
      </c>
      <c r="D34"/>
      <c r="G34"/>
      <c r="H34"/>
      <c r="I34"/>
      <c r="J34"/>
      <c r="K34"/>
      <c r="L34"/>
      <c r="M34"/>
      <c r="N34"/>
      <c r="O34"/>
    </row>
    <row r="35" spans="1:15" ht="14.65" x14ac:dyDescent="0.45">
      <c r="A35" s="19"/>
      <c r="B35">
        <v>11</v>
      </c>
      <c r="C35" s="54">
        <v>1763.7</v>
      </c>
      <c r="D35"/>
      <c r="G35"/>
      <c r="H35"/>
      <c r="I35"/>
      <c r="J35"/>
      <c r="K35"/>
      <c r="L35"/>
      <c r="M35"/>
      <c r="N35"/>
      <c r="O35"/>
    </row>
    <row r="36" spans="1:15" ht="14.65" x14ac:dyDescent="0.45">
      <c r="A36" s="19"/>
      <c r="B36">
        <v>12</v>
      </c>
      <c r="C36" s="54">
        <v>1713.0399999999997</v>
      </c>
      <c r="D36"/>
      <c r="G36"/>
      <c r="H36"/>
      <c r="I36"/>
      <c r="J36"/>
      <c r="K36"/>
      <c r="L36"/>
      <c r="M36"/>
      <c r="N36"/>
      <c r="O36"/>
    </row>
    <row r="37" spans="1:15" ht="14.65" x14ac:dyDescent="0.45">
      <c r="B37">
        <v>13</v>
      </c>
      <c r="C37" s="54">
        <v>1831.16</v>
      </c>
      <c r="D37"/>
      <c r="G37"/>
      <c r="H37"/>
      <c r="I37"/>
      <c r="J37"/>
      <c r="K37"/>
      <c r="L37"/>
      <c r="M37"/>
      <c r="N37"/>
      <c r="O37"/>
    </row>
    <row r="38" spans="1:15" ht="14.65" x14ac:dyDescent="0.45">
      <c r="B38">
        <v>14</v>
      </c>
      <c r="C38" s="54">
        <v>1874.04</v>
      </c>
      <c r="D38"/>
      <c r="G38"/>
      <c r="H38"/>
      <c r="I38"/>
      <c r="J38"/>
      <c r="K38"/>
      <c r="L38"/>
      <c r="M38"/>
      <c r="N38"/>
      <c r="O38"/>
    </row>
    <row r="39" spans="1:15" ht="14.65" x14ac:dyDescent="0.45">
      <c r="B39">
        <v>15</v>
      </c>
      <c r="C39" s="54">
        <v>2178.61</v>
      </c>
      <c r="D39"/>
      <c r="G39"/>
      <c r="H39"/>
      <c r="I39"/>
      <c r="J39"/>
      <c r="K39"/>
      <c r="L39"/>
      <c r="M39"/>
      <c r="N39"/>
      <c r="O39"/>
    </row>
    <row r="40" spans="1:15" ht="14.65" x14ac:dyDescent="0.45">
      <c r="B40">
        <v>16</v>
      </c>
      <c r="C40" s="54">
        <v>1563.14</v>
      </c>
      <c r="D40"/>
      <c r="E40"/>
      <c r="F40"/>
      <c r="G40"/>
      <c r="H40"/>
      <c r="I40"/>
      <c r="J40"/>
      <c r="K40"/>
      <c r="L40"/>
      <c r="M40"/>
      <c r="N40"/>
      <c r="O40"/>
    </row>
    <row r="41" spans="1:15" ht="14.65" x14ac:dyDescent="0.45">
      <c r="B41">
        <v>17</v>
      </c>
      <c r="C41" s="54">
        <v>2107.88</v>
      </c>
      <c r="D41"/>
      <c r="E41"/>
      <c r="F41"/>
      <c r="H41"/>
      <c r="I41"/>
      <c r="J41"/>
      <c r="K41"/>
      <c r="L41"/>
      <c r="M41"/>
      <c r="N41"/>
      <c r="O41"/>
    </row>
    <row r="42" spans="1:15" ht="14.65" x14ac:dyDescent="0.45">
      <c r="B42">
        <v>18</v>
      </c>
      <c r="C42" s="54">
        <v>1852.32</v>
      </c>
      <c r="D42"/>
      <c r="E42"/>
      <c r="F42"/>
      <c r="H42"/>
      <c r="I42"/>
      <c r="J42"/>
      <c r="K42"/>
      <c r="L42"/>
      <c r="M42"/>
      <c r="N42"/>
      <c r="O42"/>
    </row>
    <row r="43" spans="1:15" ht="14.65" x14ac:dyDescent="0.45">
      <c r="B43">
        <v>19</v>
      </c>
      <c r="C43" s="54">
        <v>1822.8400000000001</v>
      </c>
      <c r="D43"/>
      <c r="E43"/>
      <c r="F43"/>
      <c r="H43"/>
      <c r="I43"/>
      <c r="J43"/>
      <c r="K43"/>
      <c r="L43"/>
      <c r="M43"/>
      <c r="N43"/>
      <c r="O43"/>
    </row>
    <row r="44" spans="1:15" ht="14.65" x14ac:dyDescent="0.45">
      <c r="B44">
        <v>20</v>
      </c>
      <c r="C44" s="54">
        <v>859.54</v>
      </c>
      <c r="D44"/>
      <c r="E44"/>
      <c r="F44"/>
      <c r="H44"/>
      <c r="I44"/>
      <c r="J44"/>
      <c r="K44"/>
      <c r="L44"/>
      <c r="M44"/>
      <c r="N44"/>
      <c r="O44"/>
    </row>
    <row r="45" spans="1:15" ht="14.65" x14ac:dyDescent="0.45">
      <c r="B45">
        <v>21</v>
      </c>
      <c r="C45" s="54">
        <v>1169.07</v>
      </c>
      <c r="D45"/>
      <c r="E45"/>
      <c r="F45"/>
      <c r="H45"/>
      <c r="I45"/>
      <c r="J45"/>
      <c r="K45"/>
      <c r="L45"/>
      <c r="M45"/>
      <c r="N45"/>
      <c r="O45"/>
    </row>
    <row r="46" spans="1:15" ht="14.65" x14ac:dyDescent="0.45">
      <c r="B46">
        <v>22</v>
      </c>
      <c r="C46" s="54">
        <v>849.34</v>
      </c>
      <c r="D46"/>
      <c r="E46"/>
      <c r="F46"/>
      <c r="H46"/>
      <c r="I46"/>
      <c r="J46"/>
      <c r="K46"/>
      <c r="L46"/>
      <c r="M46"/>
      <c r="N46"/>
      <c r="O46"/>
    </row>
    <row r="47" spans="1:15" ht="14.65" x14ac:dyDescent="0.45">
      <c r="B47">
        <v>23</v>
      </c>
      <c r="C47" s="54">
        <v>973.73</v>
      </c>
      <c r="D47"/>
      <c r="E47"/>
      <c r="F47"/>
      <c r="H47"/>
      <c r="I47"/>
      <c r="J47"/>
      <c r="K47"/>
      <c r="L47"/>
      <c r="M47"/>
      <c r="N47"/>
      <c r="O47"/>
    </row>
    <row r="48" spans="1:15" ht="14.65" x14ac:dyDescent="0.45">
      <c r="B48">
        <v>24</v>
      </c>
      <c r="C48" s="54">
        <v>1311.7325000000001</v>
      </c>
      <c r="D48"/>
      <c r="E48"/>
      <c r="F48"/>
      <c r="H48"/>
      <c r="I48"/>
      <c r="J48"/>
      <c r="K48"/>
      <c r="L48"/>
      <c r="M48"/>
      <c r="N48"/>
      <c r="O48"/>
    </row>
    <row r="49" spans="2:15" ht="14.65" x14ac:dyDescent="0.45">
      <c r="B49">
        <v>25</v>
      </c>
      <c r="C49" s="54">
        <v>685.68000000000006</v>
      </c>
      <c r="D49"/>
      <c r="E49"/>
      <c r="F49"/>
      <c r="H49"/>
      <c r="I49"/>
      <c r="J49"/>
      <c r="K49"/>
      <c r="L49"/>
      <c r="M49"/>
      <c r="N49"/>
      <c r="O49"/>
    </row>
    <row r="50" spans="2:15" ht="14.65" x14ac:dyDescent="0.45">
      <c r="B50">
        <v>26</v>
      </c>
      <c r="C50" s="54">
        <v>637.91999999999996</v>
      </c>
      <c r="D50"/>
      <c r="E50"/>
      <c r="F50"/>
      <c r="H50"/>
      <c r="I50"/>
      <c r="J50"/>
      <c r="K50"/>
      <c r="L50"/>
      <c r="M50"/>
      <c r="N50"/>
      <c r="O50"/>
    </row>
    <row r="51" spans="2:15" ht="14.65" x14ac:dyDescent="0.45">
      <c r="B51">
        <v>27</v>
      </c>
      <c r="C51" s="54">
        <v>1151.6200000000001</v>
      </c>
      <c r="D51"/>
      <c r="E51"/>
      <c r="F51"/>
      <c r="H51"/>
      <c r="I51"/>
      <c r="J51"/>
      <c r="K51"/>
      <c r="L51"/>
      <c r="M51"/>
      <c r="N51"/>
      <c r="O51"/>
    </row>
    <row r="52" spans="2:15" ht="14.65" x14ac:dyDescent="0.45">
      <c r="B52">
        <v>28</v>
      </c>
      <c r="C52" s="54">
        <v>146</v>
      </c>
      <c r="D52"/>
      <c r="E52"/>
      <c r="F52"/>
      <c r="H52"/>
      <c r="I52"/>
      <c r="J52"/>
      <c r="K52"/>
      <c r="L52"/>
      <c r="M52"/>
      <c r="N52"/>
      <c r="O52"/>
    </row>
    <row r="53" spans="2:15" ht="14.65" x14ac:dyDescent="0.45">
      <c r="B53">
        <v>29</v>
      </c>
      <c r="C53" s="54">
        <v>713.16000000000008</v>
      </c>
      <c r="D53"/>
      <c r="E53"/>
      <c r="F53"/>
      <c r="H53"/>
      <c r="I53"/>
      <c r="J53"/>
      <c r="K53"/>
      <c r="L53"/>
      <c r="M53"/>
      <c r="N53"/>
      <c r="O53"/>
    </row>
    <row r="54" spans="2:15" ht="14.65" x14ac:dyDescent="0.45">
      <c r="B54">
        <v>30</v>
      </c>
      <c r="C54" s="54">
        <v>750</v>
      </c>
      <c r="D54"/>
      <c r="E54"/>
      <c r="F54"/>
      <c r="H54"/>
      <c r="I54"/>
      <c r="J54"/>
      <c r="K54"/>
      <c r="L54"/>
      <c r="M54"/>
      <c r="N54"/>
      <c r="O54"/>
    </row>
    <row r="55" spans="2:15" ht="14.65" x14ac:dyDescent="0.45">
      <c r="B55">
        <v>31</v>
      </c>
      <c r="C55" s="54">
        <v>859.82</v>
      </c>
      <c r="D55"/>
      <c r="E55"/>
      <c r="F55"/>
      <c r="H55"/>
      <c r="I55"/>
      <c r="J55"/>
      <c r="K55"/>
      <c r="L55"/>
      <c r="M55"/>
      <c r="N55"/>
      <c r="O55"/>
    </row>
    <row r="56" spans="2:15" ht="14.65" x14ac:dyDescent="0.45">
      <c r="B56">
        <v>32</v>
      </c>
      <c r="C56" s="54">
        <v>597.79999999999995</v>
      </c>
      <c r="D56"/>
      <c r="E56"/>
      <c r="F56"/>
      <c r="H56"/>
      <c r="I56"/>
      <c r="J56"/>
      <c r="K56"/>
      <c r="L56"/>
      <c r="M56"/>
      <c r="N56"/>
      <c r="O56"/>
    </row>
    <row r="57" spans="2:15" ht="14.65" x14ac:dyDescent="0.45">
      <c r="B57">
        <v>33</v>
      </c>
      <c r="C57" s="54">
        <v>476.44</v>
      </c>
      <c r="D57"/>
      <c r="E57"/>
      <c r="F57"/>
      <c r="H57"/>
      <c r="I57"/>
      <c r="J57"/>
      <c r="K57"/>
      <c r="L57"/>
      <c r="M57"/>
      <c r="N57"/>
      <c r="O57"/>
    </row>
    <row r="58" spans="2:15" ht="14.65" x14ac:dyDescent="0.45">
      <c r="B58">
        <v>34</v>
      </c>
      <c r="C58" s="54">
        <v>929</v>
      </c>
      <c r="D58"/>
      <c r="E58"/>
      <c r="F58"/>
      <c r="H58"/>
      <c r="I58"/>
      <c r="J58"/>
      <c r="K58"/>
      <c r="L58"/>
      <c r="M58"/>
      <c r="N58"/>
      <c r="O58"/>
    </row>
    <row r="59" spans="2:15" ht="14.65" x14ac:dyDescent="0.45">
      <c r="B59">
        <v>35</v>
      </c>
      <c r="C59" s="54">
        <v>722.68</v>
      </c>
      <c r="D59"/>
      <c r="E59"/>
      <c r="F59"/>
      <c r="H59"/>
      <c r="I59"/>
      <c r="J59"/>
      <c r="K59"/>
      <c r="L59"/>
      <c r="M59"/>
      <c r="N59"/>
      <c r="O59"/>
    </row>
    <row r="60" spans="2:15" ht="14.65" x14ac:dyDescent="0.45">
      <c r="B60">
        <v>36</v>
      </c>
      <c r="C60" s="54">
        <v>945.48</v>
      </c>
      <c r="D60"/>
      <c r="E60"/>
      <c r="F60"/>
      <c r="H60"/>
      <c r="I60"/>
      <c r="J60"/>
      <c r="K60"/>
      <c r="L60"/>
      <c r="M60"/>
      <c r="N60"/>
      <c r="O60"/>
    </row>
    <row r="61" spans="2:15" ht="14.65" x14ac:dyDescent="0.45">
      <c r="B61">
        <v>37</v>
      </c>
      <c r="C61" s="54">
        <v>723.86</v>
      </c>
      <c r="D61"/>
      <c r="E61"/>
      <c r="F61"/>
      <c r="H61"/>
      <c r="I61"/>
      <c r="J61"/>
      <c r="K61"/>
      <c r="L61"/>
      <c r="M61"/>
      <c r="N61"/>
      <c r="O61"/>
    </row>
    <row r="62" spans="2:15" ht="14.65" x14ac:dyDescent="0.45">
      <c r="B62">
        <v>38</v>
      </c>
      <c r="C62" s="54">
        <v>428</v>
      </c>
      <c r="D62"/>
      <c r="E62"/>
      <c r="F62"/>
      <c r="H62"/>
      <c r="I62"/>
      <c r="J62"/>
      <c r="K62"/>
      <c r="L62"/>
      <c r="M62"/>
      <c r="N62"/>
      <c r="O62"/>
    </row>
    <row r="63" spans="2:15" ht="14.65" x14ac:dyDescent="0.45">
      <c r="B63">
        <v>39</v>
      </c>
      <c r="C63" s="54">
        <v>659.5</v>
      </c>
      <c r="D63"/>
      <c r="E63"/>
      <c r="F63"/>
      <c r="H63"/>
      <c r="I63"/>
      <c r="J63"/>
      <c r="K63"/>
      <c r="L63"/>
      <c r="M63"/>
      <c r="N63"/>
      <c r="O63"/>
    </row>
    <row r="64" spans="2:15" ht="14.65" x14ac:dyDescent="0.45">
      <c r="B64">
        <v>40</v>
      </c>
      <c r="C64" s="54">
        <v>374.5</v>
      </c>
      <c r="D64"/>
      <c r="E64"/>
      <c r="F64"/>
      <c r="H64"/>
      <c r="I64"/>
      <c r="J64"/>
      <c r="K64"/>
      <c r="L64"/>
      <c r="M64"/>
      <c r="N64"/>
      <c r="O64"/>
    </row>
    <row r="65" spans="2:15" ht="14.65" x14ac:dyDescent="0.45">
      <c r="B65">
        <v>41</v>
      </c>
      <c r="C65" s="54">
        <v>398</v>
      </c>
      <c r="D65"/>
      <c r="E65"/>
      <c r="F65"/>
      <c r="H65"/>
      <c r="I65"/>
      <c r="J65"/>
      <c r="K65"/>
      <c r="L65"/>
      <c r="M65"/>
      <c r="N65"/>
      <c r="O65"/>
    </row>
    <row r="66" spans="2:15" ht="14.65" x14ac:dyDescent="0.45">
      <c r="B66">
        <v>42</v>
      </c>
      <c r="C66" s="54">
        <v>516</v>
      </c>
      <c r="D66"/>
      <c r="E66"/>
      <c r="F66"/>
      <c r="H66"/>
      <c r="I66"/>
      <c r="J66"/>
      <c r="K66"/>
      <c r="L66"/>
      <c r="M66"/>
      <c r="N66"/>
      <c r="O66"/>
    </row>
    <row r="67" spans="2:15" ht="14.65" x14ac:dyDescent="0.45">
      <c r="B67">
        <v>43</v>
      </c>
      <c r="C67" s="54">
        <v>297.5</v>
      </c>
      <c r="D67"/>
      <c r="E67"/>
      <c r="F67"/>
      <c r="H67"/>
      <c r="I67"/>
      <c r="J67"/>
      <c r="K67"/>
      <c r="L67"/>
      <c r="M67"/>
      <c r="N67"/>
      <c r="O67"/>
    </row>
    <row r="68" spans="2:15" ht="14.65" x14ac:dyDescent="0.45">
      <c r="B68">
        <v>44</v>
      </c>
      <c r="C68" s="54">
        <v>604.5</v>
      </c>
      <c r="D68"/>
      <c r="E68"/>
      <c r="F68"/>
      <c r="H68"/>
      <c r="I68"/>
      <c r="J68"/>
      <c r="K68"/>
      <c r="L68"/>
      <c r="M68"/>
      <c r="N68"/>
      <c r="O68"/>
    </row>
    <row r="69" spans="2:15" ht="14.65" x14ac:dyDescent="0.45">
      <c r="B69">
        <v>45</v>
      </c>
      <c r="C69" s="54">
        <v>440.5</v>
      </c>
      <c r="D69"/>
      <c r="E69"/>
      <c r="F69"/>
      <c r="H69"/>
      <c r="I69"/>
      <c r="J69"/>
      <c r="K69"/>
      <c r="L69"/>
      <c r="M69"/>
      <c r="N69"/>
      <c r="O69"/>
    </row>
    <row r="70" spans="2:15" ht="14.65" x14ac:dyDescent="0.45">
      <c r="B70">
        <v>46</v>
      </c>
      <c r="C70" s="54">
        <v>822.88</v>
      </c>
      <c r="D70"/>
      <c r="E70"/>
      <c r="F70"/>
      <c r="H70"/>
      <c r="I70"/>
      <c r="J70"/>
      <c r="K70"/>
      <c r="L70"/>
      <c r="M70"/>
      <c r="N70"/>
      <c r="O70"/>
    </row>
    <row r="71" spans="2:15" ht="14.65" x14ac:dyDescent="0.45">
      <c r="B71">
        <v>47</v>
      </c>
      <c r="C71" s="54">
        <v>1163.1599999999999</v>
      </c>
      <c r="D71"/>
      <c r="E71"/>
      <c r="F71"/>
      <c r="H71"/>
      <c r="I71"/>
      <c r="J71"/>
      <c r="K71"/>
      <c r="L71"/>
      <c r="M71"/>
      <c r="N71"/>
      <c r="O71"/>
    </row>
    <row r="72" spans="2:15" ht="14.65" x14ac:dyDescent="0.45">
      <c r="B72">
        <v>48</v>
      </c>
      <c r="C72" s="54">
        <v>1188.8400000000001</v>
      </c>
      <c r="D72"/>
      <c r="E72"/>
      <c r="F72"/>
      <c r="H72"/>
      <c r="I72"/>
      <c r="J72"/>
      <c r="K72"/>
      <c r="L72"/>
      <c r="M72"/>
      <c r="N72"/>
      <c r="O72"/>
    </row>
    <row r="73" spans="2:15" ht="14.65" x14ac:dyDescent="0.45">
      <c r="B73">
        <v>49</v>
      </c>
      <c r="C73" s="54">
        <v>933.7</v>
      </c>
      <c r="D73"/>
      <c r="E73"/>
      <c r="F73"/>
      <c r="H73"/>
      <c r="I73"/>
      <c r="J73"/>
      <c r="K73"/>
      <c r="L73"/>
      <c r="M73"/>
      <c r="N73"/>
      <c r="O73"/>
    </row>
    <row r="74" spans="2:15" ht="14.65" x14ac:dyDescent="0.45">
      <c r="B74">
        <v>50</v>
      </c>
      <c r="C74" s="54">
        <v>1606.84</v>
      </c>
      <c r="D74"/>
      <c r="E74"/>
      <c r="F74"/>
      <c r="H74"/>
      <c r="I74"/>
      <c r="J74"/>
      <c r="K74"/>
      <c r="L74"/>
      <c r="M74"/>
      <c r="N74"/>
      <c r="O74"/>
    </row>
    <row r="75" spans="2:15" ht="14.65" x14ac:dyDescent="0.45">
      <c r="B75">
        <v>51</v>
      </c>
      <c r="C75" s="54">
        <v>878.82</v>
      </c>
      <c r="D75"/>
      <c r="E75"/>
      <c r="F75"/>
      <c r="H75"/>
      <c r="I75"/>
      <c r="J75"/>
      <c r="K75"/>
      <c r="L75"/>
      <c r="M75"/>
      <c r="N75"/>
      <c r="O75"/>
    </row>
    <row r="76" spans="2:15" ht="14.65" x14ac:dyDescent="0.45">
      <c r="B76">
        <v>52</v>
      </c>
      <c r="C76" s="54">
        <v>1019.66</v>
      </c>
      <c r="D76"/>
      <c r="E76"/>
      <c r="F76"/>
      <c r="H76"/>
      <c r="I76"/>
      <c r="J76"/>
      <c r="K76"/>
      <c r="L76"/>
      <c r="M76"/>
      <c r="N76"/>
      <c r="O76"/>
    </row>
    <row r="77" spans="2:15" ht="14.65" x14ac:dyDescent="0.45">
      <c r="B77" t="s">
        <v>51</v>
      </c>
      <c r="C77"/>
      <c r="D77"/>
      <c r="E77"/>
      <c r="F77"/>
      <c r="H77"/>
      <c r="I77"/>
      <c r="J77"/>
      <c r="K77"/>
      <c r="L77"/>
      <c r="M77"/>
      <c r="N77"/>
      <c r="O77"/>
    </row>
    <row r="78" spans="2:15" ht="14.65" x14ac:dyDescent="0.45">
      <c r="B78">
        <v>53</v>
      </c>
      <c r="C78">
        <v>197.22</v>
      </c>
      <c r="D78"/>
      <c r="E78"/>
      <c r="F78"/>
      <c r="H78"/>
      <c r="I78"/>
      <c r="J78"/>
      <c r="K78"/>
      <c r="L78"/>
      <c r="M78"/>
      <c r="N78"/>
      <c r="O78"/>
    </row>
    <row r="79" spans="2:15" ht="14.65" x14ac:dyDescent="0.45">
      <c r="B79" t="s">
        <v>31</v>
      </c>
      <c r="C79" s="48">
        <v>58635.442499999997</v>
      </c>
      <c r="D79"/>
      <c r="E79"/>
      <c r="F79"/>
      <c r="H79"/>
      <c r="I79"/>
      <c r="J79"/>
      <c r="K79"/>
      <c r="L79"/>
      <c r="M79"/>
      <c r="N79"/>
      <c r="O79"/>
    </row>
    <row r="80" spans="2:15" ht="14.65" x14ac:dyDescent="0.45">
      <c r="B80"/>
      <c r="C80"/>
      <c r="D80"/>
      <c r="E80"/>
      <c r="F80"/>
      <c r="H80"/>
      <c r="I80"/>
      <c r="J80"/>
      <c r="K80"/>
      <c r="L80"/>
      <c r="M80"/>
      <c r="N80"/>
      <c r="O80"/>
    </row>
    <row r="81" spans="2:15" ht="14.65" x14ac:dyDescent="0.45">
      <c r="B81"/>
      <c r="C81"/>
      <c r="D81"/>
      <c r="E81"/>
      <c r="F81"/>
      <c r="H81"/>
      <c r="I81"/>
      <c r="J81"/>
      <c r="K81"/>
      <c r="L81"/>
      <c r="M81"/>
      <c r="N81"/>
      <c r="O81"/>
    </row>
    <row r="82" spans="2:15" ht="14.65" x14ac:dyDescent="0.45">
      <c r="B82"/>
      <c r="C82"/>
      <c r="D82"/>
      <c r="E82"/>
      <c r="F82"/>
      <c r="H82"/>
      <c r="I82"/>
      <c r="J82"/>
      <c r="K82"/>
      <c r="L82"/>
      <c r="M82"/>
      <c r="N82"/>
      <c r="O82"/>
    </row>
    <row r="83" spans="2:15" ht="14.65" x14ac:dyDescent="0.45">
      <c r="B83"/>
      <c r="C83"/>
      <c r="D83"/>
      <c r="E83"/>
      <c r="F83"/>
      <c r="H83"/>
      <c r="I83"/>
      <c r="J83"/>
      <c r="K83"/>
      <c r="L83"/>
      <c r="M83"/>
      <c r="N83"/>
      <c r="O83"/>
    </row>
    <row r="84" spans="2:15" ht="14.65" x14ac:dyDescent="0.45">
      <c r="B84"/>
      <c r="C84"/>
      <c r="D84"/>
      <c r="E84"/>
      <c r="F84"/>
      <c r="H84"/>
      <c r="I84"/>
      <c r="J84"/>
      <c r="K84"/>
      <c r="L84"/>
      <c r="M84"/>
      <c r="N84"/>
      <c r="O84"/>
    </row>
    <row r="85" spans="2:15" ht="14.65" x14ac:dyDescent="0.45">
      <c r="B85"/>
      <c r="C85"/>
      <c r="D85"/>
      <c r="E85"/>
      <c r="F85"/>
      <c r="H85"/>
      <c r="I85"/>
      <c r="J85"/>
      <c r="K85"/>
      <c r="L85"/>
      <c r="M85"/>
      <c r="N85"/>
      <c r="O85"/>
    </row>
    <row r="86" spans="2:15" ht="14.65" x14ac:dyDescent="0.45">
      <c r="B86"/>
      <c r="C86"/>
      <c r="D86"/>
      <c r="E86"/>
      <c r="F86"/>
      <c r="H86"/>
      <c r="I86"/>
      <c r="J86"/>
      <c r="K86"/>
      <c r="L86"/>
      <c r="M86"/>
      <c r="N86"/>
      <c r="O86"/>
    </row>
    <row r="87" spans="2:15" ht="14.65" x14ac:dyDescent="0.45">
      <c r="B87"/>
      <c r="C87"/>
      <c r="D87"/>
      <c r="E87"/>
      <c r="F87"/>
      <c r="H87"/>
      <c r="I87"/>
      <c r="J87"/>
      <c r="K87"/>
      <c r="L87"/>
      <c r="M87"/>
      <c r="N87"/>
      <c r="O87"/>
    </row>
    <row r="88" spans="2:15" ht="14.65" x14ac:dyDescent="0.45">
      <c r="B88"/>
      <c r="C88"/>
      <c r="D88"/>
      <c r="E88"/>
      <c r="F88"/>
      <c r="H88"/>
      <c r="I88"/>
      <c r="J88"/>
      <c r="K88"/>
      <c r="L88"/>
      <c r="M88"/>
      <c r="N88"/>
      <c r="O88"/>
    </row>
    <row r="89" spans="2:15" ht="14.65" x14ac:dyDescent="0.45">
      <c r="B89"/>
      <c r="C89"/>
      <c r="D89"/>
      <c r="E89"/>
      <c r="F89"/>
      <c r="H89"/>
      <c r="I89"/>
      <c r="J89"/>
      <c r="K89"/>
      <c r="L89"/>
      <c r="M89"/>
      <c r="N89"/>
      <c r="O89"/>
    </row>
    <row r="90" spans="2:15" ht="14.65" x14ac:dyDescent="0.45">
      <c r="B90"/>
      <c r="C90"/>
      <c r="D90"/>
      <c r="E90"/>
      <c r="F90"/>
      <c r="H90"/>
      <c r="I90"/>
      <c r="J90"/>
      <c r="K90"/>
      <c r="L90"/>
      <c r="M90"/>
      <c r="N90"/>
      <c r="O90"/>
    </row>
    <row r="91" spans="2:15" ht="14.65" x14ac:dyDescent="0.45">
      <c r="B91"/>
      <c r="C91"/>
      <c r="D91"/>
      <c r="E91"/>
      <c r="F91"/>
      <c r="H91"/>
      <c r="I91"/>
      <c r="J91"/>
      <c r="K91"/>
      <c r="L91"/>
      <c r="M91"/>
      <c r="N91"/>
      <c r="O91"/>
    </row>
    <row r="92" spans="2:15" ht="14.65" x14ac:dyDescent="0.45">
      <c r="B92"/>
      <c r="C92"/>
      <c r="D92"/>
      <c r="E92"/>
      <c r="F92"/>
      <c r="H92"/>
      <c r="I92"/>
      <c r="J92"/>
      <c r="K92"/>
      <c r="L92"/>
      <c r="M92"/>
      <c r="N92"/>
      <c r="O92"/>
    </row>
    <row r="93" spans="2:15" ht="14.65" x14ac:dyDescent="0.45">
      <c r="B93"/>
      <c r="C93"/>
      <c r="D93"/>
      <c r="E93"/>
      <c r="F93"/>
      <c r="H93"/>
      <c r="I93"/>
      <c r="J93"/>
      <c r="K93"/>
      <c r="L93"/>
      <c r="M93"/>
      <c r="N93"/>
      <c r="O93"/>
    </row>
    <row r="94" spans="2:15" ht="14.65" x14ac:dyDescent="0.45">
      <c r="B94"/>
      <c r="C94"/>
      <c r="D94"/>
      <c r="E94"/>
      <c r="F94"/>
      <c r="H94"/>
      <c r="I94"/>
      <c r="J94"/>
      <c r="K94"/>
      <c r="L94"/>
      <c r="M94"/>
      <c r="N94"/>
      <c r="O94"/>
    </row>
    <row r="95" spans="2:15" ht="14.65" x14ac:dyDescent="0.45">
      <c r="B95"/>
      <c r="C95"/>
      <c r="D95"/>
      <c r="E95"/>
      <c r="F95"/>
      <c r="H95"/>
      <c r="I95"/>
      <c r="J95"/>
      <c r="K95"/>
      <c r="L95"/>
      <c r="M95"/>
      <c r="N95"/>
      <c r="O95"/>
    </row>
    <row r="96" spans="2:15" ht="14.65" x14ac:dyDescent="0.45">
      <c r="B96"/>
      <c r="C96"/>
      <c r="D96"/>
      <c r="E96"/>
      <c r="F96"/>
      <c r="H96"/>
      <c r="I96"/>
      <c r="J96"/>
      <c r="K96"/>
      <c r="L96"/>
      <c r="M96"/>
      <c r="N96"/>
      <c r="O96"/>
    </row>
    <row r="97" spans="2:15" ht="14.65" x14ac:dyDescent="0.45">
      <c r="B97"/>
      <c r="C97"/>
      <c r="D97"/>
      <c r="E97"/>
      <c r="F97"/>
      <c r="H97"/>
      <c r="I97"/>
      <c r="J97"/>
      <c r="K97"/>
      <c r="L97"/>
      <c r="M97"/>
      <c r="N97"/>
      <c r="O97"/>
    </row>
    <row r="98" spans="2:15" ht="14.65" x14ac:dyDescent="0.45">
      <c r="B98"/>
      <c r="C98"/>
      <c r="D98"/>
      <c r="E98"/>
      <c r="F98"/>
      <c r="H98"/>
      <c r="I98"/>
      <c r="J98"/>
      <c r="K98"/>
      <c r="L98"/>
      <c r="M98"/>
      <c r="N98"/>
      <c r="O98"/>
    </row>
    <row r="99" spans="2:15" ht="14.65" x14ac:dyDescent="0.45">
      <c r="B99"/>
      <c r="C99"/>
      <c r="D99"/>
      <c r="E99"/>
      <c r="F99"/>
      <c r="H99"/>
      <c r="I99"/>
      <c r="J99"/>
      <c r="K99"/>
      <c r="L99"/>
      <c r="M99"/>
      <c r="N99"/>
      <c r="O99"/>
    </row>
    <row r="100" spans="2:15" ht="14.65" x14ac:dyDescent="0.45">
      <c r="B100"/>
      <c r="C100"/>
      <c r="D100"/>
      <c r="E100"/>
      <c r="F100"/>
      <c r="H100"/>
      <c r="I100"/>
      <c r="J100"/>
      <c r="K100"/>
      <c r="L100"/>
      <c r="M100"/>
      <c r="N100"/>
      <c r="O100"/>
    </row>
    <row r="101" spans="2:15" ht="14.65" x14ac:dyDescent="0.45">
      <c r="B101"/>
      <c r="C101"/>
      <c r="D101"/>
      <c r="E101"/>
      <c r="F101"/>
      <c r="H101"/>
      <c r="I101"/>
      <c r="J101"/>
      <c r="K101"/>
      <c r="L101"/>
      <c r="M101"/>
      <c r="N101"/>
      <c r="O101"/>
    </row>
    <row r="102" spans="2:15" ht="14.65" x14ac:dyDescent="0.45">
      <c r="B102"/>
      <c r="C102"/>
      <c r="D102"/>
      <c r="E102"/>
      <c r="F102"/>
      <c r="H102"/>
      <c r="I102"/>
      <c r="J102"/>
      <c r="K102"/>
      <c r="L102"/>
      <c r="M102"/>
      <c r="N102"/>
      <c r="O102"/>
    </row>
    <row r="103" spans="2:15" ht="14.65" x14ac:dyDescent="0.45">
      <c r="B103"/>
      <c r="C103"/>
      <c r="D103"/>
      <c r="E103"/>
      <c r="F103"/>
      <c r="H103"/>
      <c r="I103"/>
      <c r="J103"/>
      <c r="K103"/>
      <c r="L103"/>
      <c r="M103"/>
      <c r="N103"/>
      <c r="O103"/>
    </row>
    <row r="104" spans="2:15" ht="14.65" x14ac:dyDescent="0.45">
      <c r="B104"/>
      <c r="C104"/>
      <c r="D104"/>
      <c r="E104"/>
      <c r="F104"/>
      <c r="H104"/>
      <c r="I104"/>
      <c r="J104"/>
      <c r="K104"/>
      <c r="L104"/>
      <c r="M104"/>
      <c r="N104"/>
      <c r="O104"/>
    </row>
    <row r="105" spans="2:15" ht="14.65" x14ac:dyDescent="0.45">
      <c r="B105"/>
      <c r="C105"/>
      <c r="D105"/>
      <c r="E105"/>
      <c r="F105"/>
      <c r="H105"/>
      <c r="I105"/>
      <c r="J105"/>
      <c r="K105"/>
      <c r="L105"/>
      <c r="M105"/>
      <c r="N105"/>
      <c r="O105"/>
    </row>
    <row r="106" spans="2:15" ht="14.65" x14ac:dyDescent="0.45">
      <c r="B106"/>
      <c r="C106"/>
      <c r="D106"/>
      <c r="E106"/>
      <c r="F106"/>
      <c r="H106"/>
      <c r="I106"/>
      <c r="J106"/>
      <c r="K106"/>
      <c r="L106"/>
      <c r="M106"/>
      <c r="N106"/>
      <c r="O106"/>
    </row>
    <row r="107" spans="2:15" ht="14.65" x14ac:dyDescent="0.45">
      <c r="B107"/>
      <c r="C107"/>
      <c r="D107"/>
      <c r="E107"/>
      <c r="F107"/>
      <c r="H107"/>
      <c r="I107"/>
      <c r="J107"/>
      <c r="K107"/>
      <c r="L107"/>
      <c r="M107"/>
      <c r="N107"/>
      <c r="O107"/>
    </row>
    <row r="108" spans="2:15" ht="14.65" x14ac:dyDescent="0.45">
      <c r="B108"/>
      <c r="C108"/>
      <c r="D108"/>
      <c r="E108"/>
      <c r="F108"/>
      <c r="H108"/>
      <c r="I108"/>
      <c r="J108"/>
      <c r="K108"/>
      <c r="L108"/>
      <c r="M108"/>
      <c r="N108"/>
      <c r="O108"/>
    </row>
    <row r="109" spans="2:15" ht="14.65" x14ac:dyDescent="0.45">
      <c r="B109"/>
      <c r="C109"/>
      <c r="D109"/>
      <c r="E109"/>
      <c r="F109"/>
      <c r="H109"/>
      <c r="I109"/>
      <c r="J109"/>
      <c r="K109"/>
      <c r="L109"/>
      <c r="M109"/>
      <c r="N109"/>
      <c r="O109"/>
    </row>
    <row r="110" spans="2:15" ht="14.65" x14ac:dyDescent="0.45">
      <c r="B110"/>
      <c r="C110"/>
      <c r="D110"/>
      <c r="E110"/>
      <c r="F110"/>
      <c r="H110"/>
      <c r="I110"/>
      <c r="J110"/>
      <c r="K110"/>
      <c r="L110"/>
      <c r="M110"/>
      <c r="N110"/>
      <c r="O110"/>
    </row>
    <row r="111" spans="2:15" ht="14.65" x14ac:dyDescent="0.45">
      <c r="B111"/>
      <c r="C111"/>
      <c r="D111"/>
      <c r="E111"/>
      <c r="F111"/>
      <c r="H111"/>
      <c r="I111"/>
      <c r="J111"/>
      <c r="K111"/>
      <c r="L111"/>
      <c r="M111"/>
      <c r="N111"/>
      <c r="O111"/>
    </row>
    <row r="112" spans="2:15" ht="14.65" x14ac:dyDescent="0.45">
      <c r="B112"/>
      <c r="C112"/>
      <c r="D112"/>
      <c r="E112"/>
      <c r="F112"/>
      <c r="H112"/>
      <c r="I112"/>
      <c r="J112"/>
      <c r="K112"/>
      <c r="L112"/>
      <c r="M112"/>
      <c r="N112"/>
      <c r="O112"/>
    </row>
    <row r="113" spans="2:15" ht="14.65" x14ac:dyDescent="0.45">
      <c r="B113"/>
      <c r="C113"/>
      <c r="D113"/>
      <c r="E113"/>
      <c r="F113"/>
      <c r="H113"/>
      <c r="I113"/>
      <c r="J113"/>
      <c r="K113"/>
      <c r="L113"/>
      <c r="M113"/>
      <c r="N113"/>
      <c r="O113"/>
    </row>
    <row r="114" spans="2:15" ht="14.65" x14ac:dyDescent="0.45">
      <c r="B114"/>
      <c r="C114"/>
      <c r="D114"/>
      <c r="E114"/>
      <c r="F114"/>
      <c r="H114"/>
      <c r="I114"/>
      <c r="J114"/>
      <c r="K114"/>
      <c r="L114"/>
      <c r="M114"/>
      <c r="N114"/>
      <c r="O114"/>
    </row>
    <row r="115" spans="2:15" ht="14.65" x14ac:dyDescent="0.45">
      <c r="B115"/>
      <c r="C115"/>
      <c r="D115"/>
      <c r="E115"/>
      <c r="F115"/>
      <c r="H115"/>
      <c r="I115"/>
      <c r="J115"/>
      <c r="K115"/>
      <c r="L115"/>
      <c r="M115"/>
      <c r="N115"/>
      <c r="O115"/>
    </row>
    <row r="116" spans="2:15" ht="14.65" x14ac:dyDescent="0.45">
      <c r="B116"/>
      <c r="C116"/>
      <c r="D116"/>
      <c r="E116"/>
      <c r="F116"/>
      <c r="H116"/>
      <c r="I116"/>
      <c r="J116"/>
      <c r="K116"/>
      <c r="L116"/>
      <c r="M116"/>
      <c r="N116"/>
      <c r="O116"/>
    </row>
    <row r="117" spans="2:15" ht="14.65" x14ac:dyDescent="0.45">
      <c r="B117"/>
      <c r="C117"/>
      <c r="D117"/>
      <c r="E117"/>
      <c r="F117"/>
      <c r="H117"/>
      <c r="I117"/>
      <c r="J117"/>
      <c r="K117"/>
      <c r="L117"/>
      <c r="M117"/>
      <c r="N117"/>
      <c r="O117"/>
    </row>
    <row r="118" spans="2:15" ht="14.65" x14ac:dyDescent="0.45">
      <c r="B118"/>
      <c r="C118"/>
      <c r="D118"/>
      <c r="E118"/>
      <c r="F118"/>
      <c r="H118"/>
      <c r="I118"/>
      <c r="J118"/>
      <c r="K118"/>
      <c r="L118"/>
      <c r="M118"/>
      <c r="N118"/>
      <c r="O118"/>
    </row>
    <row r="119" spans="2:15" ht="14.65" x14ac:dyDescent="0.45">
      <c r="B119"/>
      <c r="C119"/>
      <c r="D119"/>
      <c r="E119"/>
      <c r="F119"/>
      <c r="H119"/>
      <c r="I119"/>
      <c r="J119"/>
      <c r="K119"/>
      <c r="L119"/>
      <c r="M119"/>
      <c r="N119"/>
      <c r="O119"/>
    </row>
    <row r="120" spans="2:15" ht="14.65" x14ac:dyDescent="0.45">
      <c r="B120"/>
      <c r="C120"/>
      <c r="D120"/>
      <c r="E120"/>
      <c r="F120"/>
      <c r="H120"/>
      <c r="I120"/>
      <c r="J120"/>
      <c r="K120"/>
      <c r="L120"/>
      <c r="M120"/>
      <c r="N120"/>
      <c r="O120"/>
    </row>
    <row r="121" spans="2:15" ht="14.65" x14ac:dyDescent="0.45">
      <c r="B121"/>
      <c r="C121"/>
      <c r="D121"/>
      <c r="E121"/>
      <c r="F121"/>
      <c r="H121"/>
      <c r="I121"/>
      <c r="J121"/>
      <c r="K121"/>
      <c r="L121"/>
      <c r="M121"/>
      <c r="N121"/>
      <c r="O121"/>
    </row>
    <row r="122" spans="2:15" ht="14.65" x14ac:dyDescent="0.45">
      <c r="B122"/>
      <c r="C122"/>
      <c r="D122"/>
      <c r="E122"/>
      <c r="F122"/>
      <c r="H122"/>
      <c r="I122"/>
      <c r="J122"/>
      <c r="K122"/>
      <c r="L122"/>
      <c r="M122"/>
      <c r="N122"/>
      <c r="O122"/>
    </row>
    <row r="123" spans="2:15" ht="14.65" x14ac:dyDescent="0.45">
      <c r="B123"/>
      <c r="C123"/>
      <c r="D123"/>
      <c r="E123"/>
      <c r="F123"/>
      <c r="H123"/>
      <c r="I123"/>
      <c r="J123"/>
      <c r="K123"/>
      <c r="L123"/>
      <c r="M123"/>
      <c r="N123"/>
      <c r="O123"/>
    </row>
    <row r="124" spans="2:15" ht="14.65" x14ac:dyDescent="0.45">
      <c r="B124"/>
      <c r="C124"/>
      <c r="D124"/>
      <c r="E124"/>
      <c r="F124"/>
      <c r="H124"/>
      <c r="I124"/>
      <c r="J124"/>
      <c r="K124"/>
      <c r="L124"/>
      <c r="M124"/>
      <c r="N124"/>
      <c r="O124"/>
    </row>
    <row r="125" spans="2:15" ht="14.65" x14ac:dyDescent="0.45">
      <c r="B125"/>
      <c r="C125"/>
      <c r="D125"/>
      <c r="E125"/>
      <c r="F125"/>
      <c r="H125"/>
      <c r="I125"/>
      <c r="J125"/>
      <c r="K125"/>
      <c r="L125"/>
      <c r="M125"/>
      <c r="N125"/>
      <c r="O125"/>
    </row>
    <row r="126" spans="2:15" ht="14.65" x14ac:dyDescent="0.45">
      <c r="B126"/>
      <c r="C126"/>
      <c r="D126"/>
      <c r="E126"/>
      <c r="F126"/>
      <c r="H126"/>
      <c r="I126"/>
      <c r="J126"/>
      <c r="K126"/>
      <c r="L126"/>
      <c r="M126"/>
      <c r="N126"/>
      <c r="O126"/>
    </row>
    <row r="127" spans="2:15" ht="14.65" x14ac:dyDescent="0.45">
      <c r="B127"/>
      <c r="C127"/>
      <c r="D127"/>
      <c r="E127"/>
      <c r="F127"/>
      <c r="H127"/>
      <c r="I127"/>
      <c r="J127"/>
      <c r="K127"/>
      <c r="L127"/>
      <c r="M127"/>
      <c r="N127"/>
      <c r="O127"/>
    </row>
    <row r="128" spans="2:15" ht="14.65" x14ac:dyDescent="0.45">
      <c r="B128"/>
      <c r="C128"/>
      <c r="D128"/>
      <c r="E128"/>
      <c r="F128"/>
      <c r="H128"/>
      <c r="I128"/>
      <c r="J128"/>
      <c r="K128"/>
      <c r="L128"/>
      <c r="M128"/>
      <c r="N128"/>
      <c r="O128"/>
    </row>
    <row r="129" spans="2:15" ht="14.65" x14ac:dyDescent="0.45">
      <c r="B129"/>
      <c r="C129"/>
      <c r="D129"/>
      <c r="E129"/>
      <c r="F129"/>
      <c r="H129"/>
      <c r="I129"/>
      <c r="J129"/>
      <c r="K129"/>
      <c r="L129"/>
      <c r="M129"/>
      <c r="N129"/>
      <c r="O129"/>
    </row>
    <row r="130" spans="2:15" ht="14.65" x14ac:dyDescent="0.45">
      <c r="B130"/>
      <c r="C130"/>
      <c r="D130"/>
      <c r="E130"/>
      <c r="F130"/>
      <c r="H130"/>
      <c r="I130"/>
      <c r="J130"/>
      <c r="K130"/>
      <c r="L130"/>
      <c r="M130"/>
      <c r="N130"/>
      <c r="O130"/>
    </row>
    <row r="131" spans="2:15" ht="14.65" x14ac:dyDescent="0.45">
      <c r="B131"/>
      <c r="C131"/>
      <c r="D131"/>
      <c r="E131"/>
      <c r="F131"/>
      <c r="H131"/>
      <c r="I131"/>
      <c r="J131"/>
      <c r="K131"/>
      <c r="L131"/>
      <c r="M131"/>
      <c r="N131"/>
      <c r="O131"/>
    </row>
    <row r="132" spans="2:15" ht="14.65" x14ac:dyDescent="0.45">
      <c r="B132"/>
      <c r="C132"/>
      <c r="D132"/>
      <c r="E132"/>
      <c r="F132"/>
      <c r="H132"/>
      <c r="I132"/>
      <c r="J132"/>
      <c r="K132"/>
      <c r="L132"/>
      <c r="M132"/>
      <c r="N132"/>
      <c r="O132"/>
    </row>
    <row r="133" spans="2:15" ht="14.65" x14ac:dyDescent="0.45">
      <c r="B133"/>
      <c r="C133"/>
      <c r="D133"/>
      <c r="E133"/>
      <c r="F133"/>
      <c r="H133"/>
      <c r="I133"/>
      <c r="J133"/>
      <c r="K133"/>
      <c r="L133"/>
      <c r="M133"/>
      <c r="N133"/>
      <c r="O133"/>
    </row>
    <row r="134" spans="2:15" ht="14.65" x14ac:dyDescent="0.45">
      <c r="B134"/>
      <c r="C134"/>
      <c r="D134"/>
      <c r="E134"/>
      <c r="F134"/>
      <c r="H134"/>
      <c r="I134"/>
      <c r="J134"/>
      <c r="K134"/>
      <c r="L134"/>
      <c r="M134"/>
      <c r="N134"/>
      <c r="O134"/>
    </row>
    <row r="135" spans="2:15" ht="14.65" x14ac:dyDescent="0.45">
      <c r="B135"/>
      <c r="C135"/>
      <c r="D135"/>
      <c r="E135"/>
      <c r="F135"/>
      <c r="H135"/>
      <c r="I135"/>
      <c r="J135"/>
      <c r="K135"/>
      <c r="L135"/>
      <c r="M135"/>
      <c r="N135"/>
      <c r="O135"/>
    </row>
    <row r="136" spans="2:15" ht="14.65" x14ac:dyDescent="0.45">
      <c r="B136"/>
      <c r="C136"/>
      <c r="D136"/>
      <c r="E136"/>
      <c r="F136"/>
      <c r="H136"/>
      <c r="I136"/>
      <c r="J136"/>
      <c r="K136"/>
      <c r="L136"/>
      <c r="M136"/>
      <c r="N136"/>
      <c r="O136"/>
    </row>
    <row r="137" spans="2:15" ht="14.65" x14ac:dyDescent="0.45">
      <c r="B137"/>
      <c r="C137"/>
      <c r="D137"/>
      <c r="E137"/>
      <c r="F137"/>
      <c r="H137"/>
      <c r="I137"/>
      <c r="J137"/>
      <c r="K137"/>
      <c r="L137"/>
      <c r="M137"/>
      <c r="N137"/>
      <c r="O137"/>
    </row>
    <row r="138" spans="2:15" ht="14.65" x14ac:dyDescent="0.45">
      <c r="B138"/>
      <c r="C138"/>
      <c r="D138"/>
      <c r="E138"/>
      <c r="F138"/>
      <c r="H138"/>
      <c r="I138"/>
      <c r="J138"/>
      <c r="K138"/>
      <c r="L138"/>
      <c r="M138"/>
      <c r="N138"/>
      <c r="O138"/>
    </row>
    <row r="139" spans="2:15" ht="14.65" x14ac:dyDescent="0.45">
      <c r="B139"/>
      <c r="C139"/>
      <c r="D139"/>
      <c r="E139"/>
      <c r="F139"/>
      <c r="H139"/>
      <c r="I139"/>
      <c r="J139"/>
      <c r="K139"/>
      <c r="L139"/>
      <c r="M139"/>
      <c r="N139"/>
      <c r="O139"/>
    </row>
    <row r="140" spans="2:15" ht="14.65" x14ac:dyDescent="0.45">
      <c r="B140"/>
      <c r="C140"/>
      <c r="D140"/>
      <c r="E140"/>
      <c r="F140"/>
      <c r="H140"/>
      <c r="I140"/>
      <c r="J140"/>
      <c r="K140"/>
      <c r="L140"/>
      <c r="M140"/>
      <c r="N140"/>
      <c r="O140"/>
    </row>
    <row r="141" spans="2:15" ht="14.65" x14ac:dyDescent="0.45">
      <c r="B141"/>
      <c r="C141"/>
      <c r="D141"/>
      <c r="E141"/>
      <c r="F141"/>
      <c r="H141"/>
      <c r="I141"/>
      <c r="J141"/>
      <c r="K141"/>
      <c r="L141"/>
      <c r="M141"/>
      <c r="N141"/>
      <c r="O141"/>
    </row>
    <row r="142" spans="2:15" ht="14.65" x14ac:dyDescent="0.45">
      <c r="B142"/>
      <c r="C142"/>
      <c r="D142"/>
      <c r="E142"/>
      <c r="F142"/>
      <c r="H142"/>
      <c r="I142"/>
      <c r="J142"/>
      <c r="K142"/>
      <c r="L142"/>
      <c r="M142"/>
      <c r="N142"/>
      <c r="O142"/>
    </row>
    <row r="143" spans="2:15" ht="14.65" x14ac:dyDescent="0.45">
      <c r="B143"/>
      <c r="C143"/>
      <c r="D143"/>
      <c r="E143"/>
      <c r="F143"/>
      <c r="H143"/>
      <c r="I143"/>
      <c r="J143"/>
      <c r="K143"/>
      <c r="L143"/>
      <c r="M143"/>
      <c r="N143"/>
      <c r="O143"/>
    </row>
    <row r="144" spans="2:15" ht="14.65" x14ac:dyDescent="0.45">
      <c r="B144"/>
      <c r="C144"/>
      <c r="D144"/>
      <c r="E144"/>
      <c r="F144"/>
      <c r="H144"/>
      <c r="I144"/>
      <c r="J144"/>
      <c r="K144"/>
      <c r="L144"/>
      <c r="M144"/>
      <c r="N144"/>
      <c r="O144"/>
    </row>
    <row r="145" spans="2:15" ht="14.65" x14ac:dyDescent="0.45">
      <c r="B145"/>
      <c r="C145"/>
      <c r="D145"/>
      <c r="E145"/>
      <c r="F145"/>
      <c r="H145"/>
      <c r="I145"/>
      <c r="J145"/>
      <c r="K145"/>
      <c r="L145"/>
      <c r="M145"/>
      <c r="N145"/>
      <c r="O145"/>
    </row>
    <row r="146" spans="2:15" ht="14.65" x14ac:dyDescent="0.45">
      <c r="B146"/>
      <c r="C146"/>
      <c r="D146"/>
      <c r="E146"/>
      <c r="F146"/>
      <c r="H146"/>
      <c r="I146"/>
      <c r="J146"/>
      <c r="K146"/>
      <c r="L146"/>
      <c r="M146"/>
      <c r="N146"/>
      <c r="O146"/>
    </row>
    <row r="147" spans="2:15" ht="14.65" x14ac:dyDescent="0.45">
      <c r="B147"/>
      <c r="C147"/>
      <c r="D147"/>
      <c r="E147"/>
      <c r="F147"/>
      <c r="H147"/>
      <c r="I147"/>
      <c r="J147"/>
      <c r="K147"/>
      <c r="L147"/>
      <c r="M147"/>
      <c r="N147"/>
      <c r="O147"/>
    </row>
    <row r="148" spans="2:15" ht="14.65" x14ac:dyDescent="0.45">
      <c r="B148"/>
      <c r="C148"/>
      <c r="D148"/>
      <c r="E148"/>
      <c r="H148"/>
      <c r="I148"/>
      <c r="J148"/>
      <c r="K148"/>
      <c r="L148"/>
      <c r="M148"/>
      <c r="N148"/>
      <c r="O148"/>
    </row>
    <row r="149" spans="2:15" ht="14.65" x14ac:dyDescent="0.45">
      <c r="B149"/>
      <c r="C149"/>
      <c r="D149"/>
      <c r="E149"/>
      <c r="H149"/>
      <c r="I149"/>
      <c r="J149"/>
      <c r="K149"/>
      <c r="L149"/>
      <c r="M149"/>
      <c r="N149"/>
      <c r="O149"/>
    </row>
    <row r="150" spans="2:15" ht="14.65" x14ac:dyDescent="0.45">
      <c r="B150"/>
      <c r="C150"/>
      <c r="D150"/>
      <c r="E150"/>
      <c r="H150"/>
      <c r="I150"/>
      <c r="J150"/>
      <c r="K150"/>
      <c r="L150"/>
      <c r="M150"/>
      <c r="N150"/>
      <c r="O150"/>
    </row>
    <row r="151" spans="2:15" ht="14.65" x14ac:dyDescent="0.45">
      <c r="B151"/>
      <c r="C151"/>
      <c r="D151"/>
      <c r="E151"/>
      <c r="H151"/>
      <c r="I151"/>
      <c r="J151"/>
      <c r="K151"/>
      <c r="L151"/>
      <c r="M151"/>
      <c r="N151"/>
      <c r="O151"/>
    </row>
    <row r="152" spans="2:15" ht="14.65" x14ac:dyDescent="0.45">
      <c r="B152"/>
      <c r="C152"/>
      <c r="D152"/>
      <c r="E152"/>
      <c r="H152"/>
      <c r="I152"/>
      <c r="J152"/>
      <c r="K152"/>
      <c r="L152"/>
      <c r="M152"/>
      <c r="N152"/>
      <c r="O152"/>
    </row>
    <row r="153" spans="2:15" ht="14.65" x14ac:dyDescent="0.45">
      <c r="B153"/>
      <c r="C153"/>
      <c r="D153"/>
      <c r="E153"/>
      <c r="H153"/>
      <c r="I153"/>
      <c r="J153"/>
      <c r="K153"/>
      <c r="L153"/>
      <c r="M153"/>
      <c r="N153"/>
      <c r="O153"/>
    </row>
    <row r="154" spans="2:15" ht="14.65" x14ac:dyDescent="0.45">
      <c r="B154"/>
      <c r="C154"/>
      <c r="D154"/>
      <c r="E154"/>
      <c r="H154"/>
      <c r="I154"/>
      <c r="J154"/>
      <c r="K154"/>
      <c r="L154"/>
      <c r="M154"/>
      <c r="N154"/>
      <c r="O154"/>
    </row>
    <row r="155" spans="2:15" ht="14.65" x14ac:dyDescent="0.45">
      <c r="B155"/>
      <c r="C155"/>
      <c r="D155"/>
      <c r="E155"/>
      <c r="H155"/>
      <c r="I155"/>
      <c r="J155"/>
      <c r="K155"/>
      <c r="L155"/>
      <c r="M155"/>
      <c r="N155"/>
      <c r="O155"/>
    </row>
    <row r="156" spans="2:15" ht="14.65" x14ac:dyDescent="0.45">
      <c r="B156"/>
      <c r="C156"/>
      <c r="D156"/>
      <c r="E156"/>
      <c r="H156"/>
      <c r="I156"/>
      <c r="J156"/>
      <c r="K156"/>
      <c r="L156"/>
      <c r="M156"/>
      <c r="N156"/>
      <c r="O156"/>
    </row>
    <row r="157" spans="2:15" ht="14.65" x14ac:dyDescent="0.45">
      <c r="B157"/>
      <c r="C157"/>
      <c r="D157"/>
      <c r="E157"/>
      <c r="H157"/>
      <c r="I157"/>
      <c r="J157"/>
      <c r="K157"/>
      <c r="L157"/>
      <c r="M157"/>
      <c r="N157"/>
      <c r="O157"/>
    </row>
    <row r="158" spans="2:15" ht="14.65" x14ac:dyDescent="0.45">
      <c r="B158"/>
      <c r="C158"/>
      <c r="D158"/>
      <c r="E158"/>
      <c r="H158"/>
      <c r="I158"/>
      <c r="J158"/>
      <c r="K158"/>
      <c r="L158"/>
      <c r="M158"/>
      <c r="N158"/>
      <c r="O158"/>
    </row>
    <row r="159" spans="2:15" ht="14.65" x14ac:dyDescent="0.45">
      <c r="B159"/>
      <c r="C159"/>
      <c r="D159"/>
      <c r="E159"/>
      <c r="H159"/>
      <c r="I159"/>
      <c r="J159"/>
      <c r="K159"/>
      <c r="L159"/>
      <c r="M159"/>
      <c r="N159"/>
      <c r="O159"/>
    </row>
    <row r="160" spans="2:15" ht="14.65" x14ac:dyDescent="0.45">
      <c r="B160"/>
      <c r="C160"/>
      <c r="D160"/>
      <c r="E160"/>
      <c r="H160"/>
      <c r="I160"/>
      <c r="J160"/>
      <c r="K160"/>
      <c r="L160"/>
      <c r="M160"/>
      <c r="N160"/>
      <c r="O160"/>
    </row>
    <row r="161" spans="2:15" ht="14.65" x14ac:dyDescent="0.45">
      <c r="B161"/>
      <c r="C161"/>
      <c r="D161"/>
      <c r="E161"/>
      <c r="H161"/>
      <c r="I161"/>
      <c r="J161"/>
      <c r="K161"/>
      <c r="L161"/>
      <c r="M161"/>
      <c r="N161"/>
      <c r="O161"/>
    </row>
    <row r="162" spans="2:15" ht="14.65" x14ac:dyDescent="0.45">
      <c r="B162"/>
      <c r="C162"/>
      <c r="D162"/>
      <c r="E162"/>
      <c r="H162"/>
      <c r="I162"/>
      <c r="J162"/>
      <c r="K162"/>
      <c r="L162"/>
      <c r="M162"/>
      <c r="N162"/>
      <c r="O162"/>
    </row>
    <row r="163" spans="2:15" ht="14.65" x14ac:dyDescent="0.45">
      <c r="B163"/>
      <c r="C163"/>
      <c r="D163"/>
      <c r="E163"/>
      <c r="H163"/>
      <c r="I163"/>
      <c r="J163"/>
      <c r="K163"/>
      <c r="L163"/>
      <c r="M163"/>
      <c r="N163"/>
      <c r="O163"/>
    </row>
    <row r="164" spans="2:15" ht="14.65" x14ac:dyDescent="0.45">
      <c r="B164"/>
      <c r="C164"/>
      <c r="D164"/>
      <c r="E164"/>
      <c r="H164"/>
      <c r="I164"/>
      <c r="J164"/>
      <c r="K164"/>
      <c r="L164"/>
      <c r="M164"/>
      <c r="N164"/>
      <c r="O164"/>
    </row>
    <row r="165" spans="2:15" ht="14.65" x14ac:dyDescent="0.45">
      <c r="B165"/>
      <c r="C165"/>
      <c r="D165"/>
      <c r="E165"/>
      <c r="H165"/>
      <c r="I165"/>
      <c r="J165"/>
      <c r="K165"/>
      <c r="L165"/>
      <c r="M165"/>
      <c r="N165"/>
      <c r="O165"/>
    </row>
    <row r="166" spans="2:15" ht="14.65" x14ac:dyDescent="0.45">
      <c r="B166"/>
      <c r="C166"/>
      <c r="D166"/>
      <c r="E166"/>
      <c r="H166"/>
      <c r="I166"/>
      <c r="J166"/>
      <c r="K166"/>
      <c r="L166"/>
      <c r="M166"/>
      <c r="N166"/>
      <c r="O166"/>
    </row>
    <row r="167" spans="2:15" ht="14.65" x14ac:dyDescent="0.45">
      <c r="B167"/>
      <c r="C167"/>
      <c r="D167"/>
      <c r="E167"/>
      <c r="H167"/>
      <c r="I167"/>
      <c r="J167"/>
      <c r="K167"/>
      <c r="L167"/>
      <c r="M167"/>
      <c r="N167"/>
      <c r="O167"/>
    </row>
    <row r="168" spans="2:15" ht="14.65" x14ac:dyDescent="0.45">
      <c r="B168"/>
      <c r="C168"/>
      <c r="D168"/>
      <c r="E168"/>
      <c r="H168"/>
      <c r="I168"/>
      <c r="J168"/>
      <c r="K168"/>
      <c r="L168"/>
      <c r="M168"/>
      <c r="N168"/>
      <c r="O168"/>
    </row>
    <row r="169" spans="2:15" ht="14.65" x14ac:dyDescent="0.45">
      <c r="B169"/>
      <c r="C169"/>
      <c r="D169"/>
      <c r="E169"/>
      <c r="H169"/>
      <c r="I169"/>
      <c r="J169"/>
      <c r="K169"/>
      <c r="L169"/>
      <c r="M169"/>
      <c r="N169"/>
      <c r="O169"/>
    </row>
    <row r="170" spans="2:15" ht="14.65" x14ac:dyDescent="0.45">
      <c r="B170"/>
      <c r="C170"/>
      <c r="D170"/>
      <c r="E170"/>
      <c r="H170"/>
      <c r="I170"/>
      <c r="J170"/>
      <c r="K170"/>
      <c r="L170"/>
      <c r="M170"/>
      <c r="N170"/>
      <c r="O170"/>
    </row>
    <row r="171" spans="2:15" ht="14.65" x14ac:dyDescent="0.45">
      <c r="B171"/>
      <c r="C171"/>
      <c r="D171"/>
      <c r="E171"/>
      <c r="H171"/>
      <c r="I171"/>
      <c r="J171"/>
      <c r="K171"/>
      <c r="L171"/>
      <c r="M171"/>
      <c r="N171"/>
      <c r="O171"/>
    </row>
    <row r="172" spans="2:15" ht="14.65" x14ac:dyDescent="0.45">
      <c r="B172"/>
      <c r="C172"/>
      <c r="D172"/>
      <c r="E172"/>
      <c r="H172"/>
      <c r="I172"/>
      <c r="J172"/>
      <c r="K172"/>
      <c r="L172"/>
      <c r="M172"/>
      <c r="N172"/>
      <c r="O172"/>
    </row>
    <row r="173" spans="2:15" ht="14.65" x14ac:dyDescent="0.45">
      <c r="B173"/>
      <c r="C173"/>
      <c r="D173"/>
      <c r="E173"/>
      <c r="H173"/>
      <c r="I173"/>
      <c r="J173"/>
      <c r="K173"/>
      <c r="L173"/>
      <c r="M173"/>
      <c r="N173"/>
      <c r="O173"/>
    </row>
    <row r="174" spans="2:15" ht="14.65" x14ac:dyDescent="0.45">
      <c r="B174"/>
      <c r="C174"/>
      <c r="D174"/>
      <c r="E174"/>
      <c r="H174"/>
      <c r="I174"/>
      <c r="J174"/>
      <c r="K174"/>
      <c r="L174"/>
      <c r="M174"/>
      <c r="N174"/>
      <c r="O174"/>
    </row>
    <row r="175" spans="2:15" ht="14.65" x14ac:dyDescent="0.45">
      <c r="B175"/>
      <c r="C175"/>
      <c r="D175"/>
      <c r="E175"/>
      <c r="H175"/>
      <c r="I175"/>
      <c r="J175"/>
      <c r="K175"/>
      <c r="L175"/>
      <c r="M175"/>
      <c r="N175"/>
      <c r="O175"/>
    </row>
    <row r="176" spans="2:15" ht="14.65" x14ac:dyDescent="0.45">
      <c r="B176"/>
      <c r="C176"/>
      <c r="D176"/>
      <c r="E176"/>
      <c r="H176"/>
      <c r="I176"/>
      <c r="J176"/>
      <c r="K176"/>
      <c r="L176"/>
      <c r="M176"/>
      <c r="N176"/>
      <c r="O176"/>
    </row>
    <row r="177" spans="2:15" ht="14.65" x14ac:dyDescent="0.45">
      <c r="B177"/>
      <c r="C177"/>
      <c r="D177"/>
      <c r="E177"/>
      <c r="H177"/>
      <c r="I177"/>
      <c r="J177"/>
      <c r="K177"/>
      <c r="L177"/>
      <c r="M177"/>
      <c r="N177"/>
      <c r="O177"/>
    </row>
    <row r="178" spans="2:15" ht="14.65" x14ac:dyDescent="0.45">
      <c r="B178"/>
      <c r="C178"/>
      <c r="D178"/>
      <c r="E178"/>
      <c r="H178"/>
      <c r="I178"/>
      <c r="J178"/>
      <c r="K178"/>
      <c r="L178"/>
      <c r="M178"/>
      <c r="N178"/>
      <c r="O178"/>
    </row>
    <row r="179" spans="2:15" ht="14.65" x14ac:dyDescent="0.45">
      <c r="B179"/>
      <c r="C179"/>
      <c r="D179"/>
      <c r="E179"/>
      <c r="H179"/>
      <c r="I179"/>
      <c r="J179"/>
      <c r="K179"/>
      <c r="L179"/>
      <c r="M179"/>
      <c r="N179"/>
      <c r="O179"/>
    </row>
    <row r="180" spans="2:15" ht="14.65" x14ac:dyDescent="0.45">
      <c r="B180"/>
      <c r="C180"/>
      <c r="D180"/>
      <c r="E180"/>
      <c r="H180"/>
      <c r="I180"/>
      <c r="J180"/>
      <c r="K180"/>
      <c r="L180"/>
      <c r="M180"/>
      <c r="N180"/>
      <c r="O180"/>
    </row>
    <row r="181" spans="2:15" ht="14.65" x14ac:dyDescent="0.45">
      <c r="B181"/>
      <c r="C181"/>
      <c r="D181"/>
      <c r="E181"/>
      <c r="H181"/>
      <c r="I181"/>
      <c r="J181"/>
      <c r="K181"/>
      <c r="L181"/>
      <c r="M181"/>
      <c r="N181"/>
      <c r="O181"/>
    </row>
    <row r="182" spans="2:15" ht="14.65" x14ac:dyDescent="0.45">
      <c r="B182"/>
      <c r="C182"/>
      <c r="D182"/>
      <c r="E182"/>
      <c r="H182"/>
      <c r="I182"/>
      <c r="J182"/>
      <c r="K182"/>
      <c r="L182"/>
      <c r="M182"/>
      <c r="N182"/>
      <c r="O182"/>
    </row>
    <row r="183" spans="2:15" ht="14.65" x14ac:dyDescent="0.45">
      <c r="B183"/>
      <c r="C183"/>
      <c r="D183"/>
      <c r="E183"/>
      <c r="H183"/>
      <c r="I183"/>
      <c r="J183"/>
      <c r="K183"/>
      <c r="L183"/>
      <c r="M183"/>
      <c r="N183"/>
      <c r="O183"/>
    </row>
    <row r="184" spans="2:15" ht="14.65" x14ac:dyDescent="0.45">
      <c r="B184"/>
      <c r="C184"/>
      <c r="D184"/>
      <c r="E184"/>
      <c r="H184"/>
      <c r="I184"/>
      <c r="J184"/>
      <c r="K184"/>
      <c r="L184"/>
      <c r="M184"/>
      <c r="N184"/>
      <c r="O184"/>
    </row>
    <row r="185" spans="2:15" ht="14.65" x14ac:dyDescent="0.45">
      <c r="B185"/>
      <c r="C185"/>
      <c r="D185"/>
      <c r="E185"/>
      <c r="H185"/>
      <c r="I185"/>
      <c r="J185"/>
      <c r="K185"/>
      <c r="L185"/>
      <c r="M185"/>
      <c r="N185"/>
      <c r="O185"/>
    </row>
    <row r="186" spans="2:15" ht="14.65" x14ac:dyDescent="0.45">
      <c r="B186"/>
      <c r="C186"/>
      <c r="D186"/>
      <c r="E186"/>
      <c r="H186"/>
      <c r="I186"/>
      <c r="J186"/>
      <c r="K186"/>
      <c r="L186"/>
      <c r="M186"/>
      <c r="N186"/>
      <c r="O186"/>
    </row>
    <row r="187" spans="2:15" ht="14.65" x14ac:dyDescent="0.45">
      <c r="B187"/>
      <c r="C187"/>
      <c r="D187"/>
      <c r="E187"/>
      <c r="H187"/>
      <c r="I187"/>
      <c r="J187"/>
      <c r="K187"/>
      <c r="L187"/>
      <c r="M187"/>
      <c r="N187"/>
      <c r="O187"/>
    </row>
    <row r="188" spans="2:15" ht="14.65" x14ac:dyDescent="0.45">
      <c r="B188"/>
      <c r="C188"/>
      <c r="D188"/>
      <c r="E188"/>
      <c r="H188"/>
      <c r="I188"/>
      <c r="J188"/>
      <c r="K188"/>
      <c r="L188"/>
      <c r="M188"/>
      <c r="N188"/>
      <c r="O188"/>
    </row>
    <row r="189" spans="2:15" ht="14.65" x14ac:dyDescent="0.45">
      <c r="B189"/>
      <c r="C189"/>
      <c r="D189"/>
      <c r="E189"/>
      <c r="H189"/>
      <c r="I189"/>
      <c r="J189"/>
      <c r="K189"/>
      <c r="L189"/>
      <c r="M189"/>
      <c r="N189"/>
      <c r="O189"/>
    </row>
    <row r="190" spans="2:15" ht="14.65" x14ac:dyDescent="0.45">
      <c r="B190"/>
      <c r="C190"/>
      <c r="D190"/>
      <c r="E190"/>
      <c r="H190"/>
      <c r="I190"/>
      <c r="J190"/>
      <c r="K190"/>
      <c r="L190"/>
      <c r="M190"/>
      <c r="N190"/>
      <c r="O190"/>
    </row>
    <row r="191" spans="2:15" ht="14.65" x14ac:dyDescent="0.45">
      <c r="B191"/>
      <c r="C191"/>
      <c r="D191"/>
      <c r="E191"/>
      <c r="H191"/>
      <c r="I191"/>
      <c r="J191"/>
      <c r="K191"/>
      <c r="L191"/>
      <c r="M191"/>
      <c r="N191"/>
      <c r="O191"/>
    </row>
    <row r="192" spans="2:15" ht="14.65" x14ac:dyDescent="0.45">
      <c r="B192"/>
      <c r="C192"/>
      <c r="D192"/>
      <c r="E192"/>
      <c r="H192"/>
      <c r="I192"/>
      <c r="J192"/>
      <c r="K192"/>
      <c r="L192"/>
      <c r="M192"/>
      <c r="N192"/>
      <c r="O192"/>
    </row>
    <row r="193" spans="2:15" ht="14.65" x14ac:dyDescent="0.45">
      <c r="B193"/>
      <c r="C193"/>
      <c r="D193"/>
      <c r="E193"/>
      <c r="H193"/>
      <c r="I193"/>
      <c r="J193"/>
      <c r="K193"/>
      <c r="L193"/>
      <c r="M193"/>
      <c r="N193"/>
      <c r="O193"/>
    </row>
    <row r="194" spans="2:15" ht="14.65" x14ac:dyDescent="0.45">
      <c r="B194"/>
      <c r="C194"/>
      <c r="D194"/>
      <c r="E194"/>
      <c r="H194"/>
      <c r="I194"/>
      <c r="J194"/>
      <c r="K194"/>
      <c r="L194"/>
      <c r="M194"/>
      <c r="N194"/>
      <c r="O194"/>
    </row>
    <row r="195" spans="2:15" ht="14.65" x14ac:dyDescent="0.45">
      <c r="B195"/>
      <c r="C195"/>
      <c r="D195"/>
      <c r="E195"/>
      <c r="H195"/>
      <c r="I195"/>
      <c r="J195"/>
      <c r="K195"/>
      <c r="L195"/>
      <c r="M195"/>
      <c r="N195"/>
      <c r="O195"/>
    </row>
    <row r="196" spans="2:15" ht="14.65" x14ac:dyDescent="0.45">
      <c r="B196"/>
      <c r="C196"/>
      <c r="D196"/>
      <c r="E196"/>
      <c r="H196"/>
      <c r="I196"/>
      <c r="J196"/>
      <c r="K196"/>
      <c r="L196"/>
      <c r="M196"/>
      <c r="N196"/>
      <c r="O196"/>
    </row>
    <row r="197" spans="2:15" ht="14.65" x14ac:dyDescent="0.45">
      <c r="B197"/>
      <c r="C197"/>
      <c r="D197"/>
      <c r="E197"/>
      <c r="H197"/>
      <c r="I197"/>
      <c r="J197"/>
      <c r="K197"/>
      <c r="L197"/>
      <c r="M197"/>
      <c r="N197"/>
      <c r="O197"/>
    </row>
    <row r="198" spans="2:15" ht="14.65" x14ac:dyDescent="0.45">
      <c r="B198"/>
      <c r="C198"/>
      <c r="D198"/>
      <c r="E198"/>
      <c r="H198"/>
      <c r="I198"/>
      <c r="J198"/>
      <c r="K198"/>
      <c r="L198"/>
      <c r="M198"/>
      <c r="N198"/>
      <c r="O198"/>
    </row>
    <row r="199" spans="2:15" ht="14.65" x14ac:dyDescent="0.45">
      <c r="B199"/>
      <c r="C199"/>
      <c r="D199"/>
      <c r="E199"/>
      <c r="H199"/>
      <c r="I199"/>
      <c r="J199"/>
      <c r="K199"/>
      <c r="L199"/>
      <c r="M199"/>
      <c r="N199"/>
      <c r="O199"/>
    </row>
    <row r="200" spans="2:15" ht="14.65" x14ac:dyDescent="0.45">
      <c r="B200"/>
      <c r="C200"/>
      <c r="D200"/>
      <c r="E200"/>
      <c r="H200"/>
      <c r="I200"/>
      <c r="J200"/>
      <c r="K200"/>
      <c r="L200"/>
      <c r="M200"/>
      <c r="N200"/>
      <c r="O200"/>
    </row>
    <row r="201" spans="2:15" ht="14.65" x14ac:dyDescent="0.45">
      <c r="B201"/>
      <c r="C201"/>
      <c r="D201"/>
      <c r="E201"/>
      <c r="H201"/>
      <c r="I201"/>
      <c r="J201"/>
      <c r="K201"/>
      <c r="L201"/>
      <c r="M201"/>
      <c r="N201"/>
      <c r="O201"/>
    </row>
    <row r="202" spans="2:15" ht="14.65" x14ac:dyDescent="0.45">
      <c r="B202"/>
      <c r="C202"/>
      <c r="D202"/>
      <c r="E202"/>
      <c r="H202"/>
      <c r="I202"/>
      <c r="J202"/>
      <c r="K202"/>
      <c r="L202"/>
      <c r="M202"/>
      <c r="N202"/>
      <c r="O202"/>
    </row>
    <row r="203" spans="2:15" ht="14.65" x14ac:dyDescent="0.45">
      <c r="B203"/>
      <c r="C203"/>
      <c r="D203"/>
      <c r="E203"/>
      <c r="H203"/>
      <c r="I203"/>
      <c r="J203"/>
      <c r="K203"/>
      <c r="L203"/>
      <c r="M203"/>
      <c r="N203"/>
      <c r="O203"/>
    </row>
    <row r="204" spans="2:15" ht="14.65" x14ac:dyDescent="0.45">
      <c r="B204"/>
      <c r="C204"/>
      <c r="D204"/>
      <c r="E204"/>
      <c r="H204"/>
      <c r="I204"/>
      <c r="J204"/>
      <c r="K204"/>
      <c r="L204"/>
      <c r="M204"/>
      <c r="N204"/>
      <c r="O204"/>
    </row>
    <row r="205" spans="2:15" ht="14.65" x14ac:dyDescent="0.45">
      <c r="B205"/>
      <c r="C205"/>
      <c r="D205"/>
      <c r="E205"/>
      <c r="H205"/>
      <c r="I205"/>
      <c r="J205"/>
      <c r="K205"/>
      <c r="L205"/>
      <c r="M205"/>
      <c r="N205"/>
      <c r="O205"/>
    </row>
    <row r="206" spans="2:15" ht="14.65" x14ac:dyDescent="0.45">
      <c r="B206"/>
      <c r="C206"/>
      <c r="D206"/>
      <c r="E206"/>
      <c r="H206"/>
      <c r="I206"/>
      <c r="J206"/>
      <c r="K206"/>
      <c r="L206"/>
      <c r="M206"/>
      <c r="N206"/>
      <c r="O206"/>
    </row>
    <row r="207" spans="2:15" ht="14.65" x14ac:dyDescent="0.45">
      <c r="B207"/>
      <c r="C207"/>
      <c r="D207"/>
      <c r="E207"/>
      <c r="H207"/>
      <c r="I207"/>
      <c r="J207"/>
      <c r="K207"/>
      <c r="L207"/>
      <c r="M207"/>
      <c r="N207"/>
      <c r="O207"/>
    </row>
    <row r="208" spans="2:15" ht="14.65" x14ac:dyDescent="0.45">
      <c r="B208"/>
      <c r="C208"/>
      <c r="D208"/>
      <c r="E208"/>
      <c r="H208"/>
      <c r="I208"/>
      <c r="J208"/>
      <c r="K208"/>
      <c r="L208"/>
      <c r="M208"/>
      <c r="N208"/>
      <c r="O208"/>
    </row>
    <row r="209" spans="2:15" ht="14.65" x14ac:dyDescent="0.45">
      <c r="B209"/>
      <c r="C209"/>
      <c r="D209"/>
      <c r="E209"/>
      <c r="H209"/>
      <c r="I209"/>
      <c r="J209"/>
      <c r="K209"/>
      <c r="L209"/>
      <c r="M209"/>
      <c r="N209"/>
      <c r="O209"/>
    </row>
    <row r="210" spans="2:15" ht="14.65" x14ac:dyDescent="0.45">
      <c r="B210"/>
      <c r="C210"/>
      <c r="D210"/>
      <c r="E210"/>
      <c r="H210"/>
      <c r="I210"/>
      <c r="J210"/>
      <c r="K210"/>
      <c r="L210"/>
      <c r="M210"/>
      <c r="N210"/>
      <c r="O210"/>
    </row>
    <row r="211" spans="2:15" ht="14.65" x14ac:dyDescent="0.45">
      <c r="B211"/>
      <c r="C211"/>
      <c r="D211"/>
      <c r="E211"/>
      <c r="H211"/>
      <c r="I211"/>
      <c r="J211"/>
      <c r="K211"/>
      <c r="L211"/>
      <c r="M211"/>
      <c r="N211"/>
      <c r="O211"/>
    </row>
    <row r="212" spans="2:15" ht="14.65" x14ac:dyDescent="0.45">
      <c r="B212"/>
      <c r="C212"/>
      <c r="D212"/>
      <c r="E212"/>
      <c r="H212"/>
      <c r="I212"/>
      <c r="J212"/>
      <c r="K212"/>
      <c r="L212"/>
      <c r="M212"/>
      <c r="N212"/>
      <c r="O212"/>
    </row>
    <row r="213" spans="2:15" ht="14.65" x14ac:dyDescent="0.45">
      <c r="B213"/>
      <c r="C213"/>
      <c r="D213"/>
      <c r="E213"/>
      <c r="H213"/>
      <c r="I213"/>
      <c r="J213"/>
      <c r="K213"/>
      <c r="L213"/>
      <c r="M213"/>
      <c r="N213"/>
      <c r="O213"/>
    </row>
    <row r="214" spans="2:15" ht="14.65" x14ac:dyDescent="0.45">
      <c r="B214"/>
      <c r="C214"/>
      <c r="D214"/>
      <c r="E214"/>
      <c r="H214"/>
      <c r="I214"/>
      <c r="J214"/>
      <c r="K214"/>
      <c r="L214"/>
      <c r="M214"/>
      <c r="N214"/>
      <c r="O214"/>
    </row>
    <row r="215" spans="2:15" ht="14.65" x14ac:dyDescent="0.45">
      <c r="B215"/>
      <c r="C215"/>
      <c r="D215"/>
      <c r="E215"/>
      <c r="H215"/>
      <c r="I215"/>
      <c r="J215"/>
      <c r="K215"/>
      <c r="L215"/>
      <c r="M215"/>
      <c r="N215"/>
      <c r="O215"/>
    </row>
    <row r="216" spans="2:15" ht="14.65" x14ac:dyDescent="0.45">
      <c r="B216"/>
      <c r="C216"/>
      <c r="D216"/>
      <c r="E216"/>
      <c r="H216"/>
      <c r="I216"/>
      <c r="J216"/>
      <c r="K216"/>
      <c r="L216"/>
      <c r="M216"/>
      <c r="N216"/>
      <c r="O216"/>
    </row>
    <row r="217" spans="2:15" ht="14.65" x14ac:dyDescent="0.45">
      <c r="B217"/>
      <c r="C217"/>
      <c r="D217"/>
      <c r="E217"/>
      <c r="H217"/>
      <c r="I217"/>
      <c r="J217"/>
      <c r="K217"/>
      <c r="L217"/>
      <c r="M217"/>
      <c r="N217"/>
      <c r="O217"/>
    </row>
    <row r="218" spans="2:15" ht="14.65" x14ac:dyDescent="0.45">
      <c r="B218"/>
      <c r="C218"/>
      <c r="D218"/>
      <c r="E218"/>
      <c r="H218"/>
      <c r="I218"/>
      <c r="J218"/>
      <c r="K218"/>
      <c r="L218"/>
      <c r="M218"/>
      <c r="N218"/>
      <c r="O218"/>
    </row>
    <row r="219" spans="2:15" ht="14.65" x14ac:dyDescent="0.45">
      <c r="B219"/>
      <c r="C219"/>
      <c r="D219"/>
      <c r="E219"/>
      <c r="H219"/>
      <c r="I219"/>
      <c r="J219"/>
      <c r="K219"/>
      <c r="L219"/>
      <c r="M219"/>
      <c r="N219"/>
      <c r="O219"/>
    </row>
    <row r="220" spans="2:15" ht="14.65" x14ac:dyDescent="0.45">
      <c r="B220"/>
      <c r="C220"/>
      <c r="D220"/>
      <c r="E220"/>
      <c r="H220"/>
      <c r="I220"/>
      <c r="J220"/>
      <c r="K220"/>
      <c r="L220"/>
      <c r="M220"/>
      <c r="N220"/>
      <c r="O220"/>
    </row>
    <row r="221" spans="2:15" ht="14.65" x14ac:dyDescent="0.45">
      <c r="B221"/>
      <c r="C221"/>
      <c r="D221"/>
      <c r="E221"/>
      <c r="H221"/>
      <c r="I221"/>
      <c r="J221"/>
      <c r="K221"/>
      <c r="L221"/>
      <c r="M221"/>
      <c r="N221"/>
      <c r="O221"/>
    </row>
    <row r="222" spans="2:15" ht="14.65" x14ac:dyDescent="0.45">
      <c r="B222"/>
      <c r="C222"/>
      <c r="D222"/>
      <c r="E222"/>
      <c r="H222"/>
      <c r="I222"/>
      <c r="J222"/>
      <c r="K222"/>
      <c r="L222"/>
      <c r="M222"/>
      <c r="N222"/>
      <c r="O222"/>
    </row>
    <row r="223" spans="2:15" ht="14.65" x14ac:dyDescent="0.45">
      <c r="B223"/>
      <c r="C223"/>
      <c r="D223"/>
      <c r="E223"/>
      <c r="H223"/>
      <c r="I223"/>
      <c r="J223"/>
      <c r="K223"/>
      <c r="L223"/>
      <c r="M223"/>
      <c r="N223"/>
      <c r="O223"/>
    </row>
    <row r="224" spans="2:15" ht="14.65" x14ac:dyDescent="0.45">
      <c r="B224"/>
      <c r="C224"/>
      <c r="D224"/>
      <c r="E224"/>
      <c r="H224"/>
      <c r="I224"/>
      <c r="J224"/>
      <c r="K224"/>
      <c r="L224"/>
      <c r="M224"/>
      <c r="N224"/>
      <c r="O224"/>
    </row>
    <row r="225" spans="2:15" ht="14.65" x14ac:dyDescent="0.45">
      <c r="B225"/>
      <c r="C225"/>
      <c r="D225"/>
      <c r="E225"/>
      <c r="H225"/>
      <c r="I225"/>
      <c r="J225"/>
      <c r="K225"/>
      <c r="L225"/>
      <c r="M225"/>
      <c r="N225"/>
      <c r="O225"/>
    </row>
    <row r="226" spans="2:15" ht="14.65" x14ac:dyDescent="0.45">
      <c r="B226"/>
      <c r="C226"/>
      <c r="D226"/>
      <c r="E226"/>
      <c r="H226"/>
      <c r="I226"/>
      <c r="J226"/>
      <c r="K226"/>
      <c r="L226"/>
      <c r="M226"/>
      <c r="N226"/>
      <c r="O226"/>
    </row>
    <row r="227" spans="2:15" ht="14.65" x14ac:dyDescent="0.45">
      <c r="B227"/>
      <c r="C227"/>
      <c r="D227"/>
      <c r="E227"/>
      <c r="H227"/>
      <c r="I227"/>
      <c r="J227"/>
      <c r="K227"/>
      <c r="L227"/>
      <c r="M227"/>
      <c r="N227"/>
      <c r="O227"/>
    </row>
    <row r="228" spans="2:15" ht="14.65" x14ac:dyDescent="0.45">
      <c r="B228"/>
      <c r="C228"/>
      <c r="D228"/>
      <c r="E228"/>
      <c r="H228"/>
      <c r="I228"/>
      <c r="J228"/>
      <c r="K228"/>
      <c r="L228"/>
      <c r="M228"/>
      <c r="N228"/>
      <c r="O228"/>
    </row>
    <row r="229" spans="2:15" ht="14.65" x14ac:dyDescent="0.45">
      <c r="B229"/>
      <c r="C229"/>
      <c r="D229"/>
      <c r="E229"/>
      <c r="H229"/>
      <c r="I229"/>
      <c r="J229"/>
      <c r="K229"/>
      <c r="L229"/>
      <c r="M229"/>
      <c r="N229"/>
      <c r="O229"/>
    </row>
    <row r="230" spans="2:15" ht="14.65" x14ac:dyDescent="0.45">
      <c r="B230"/>
      <c r="C230"/>
      <c r="D230"/>
      <c r="E230"/>
      <c r="H230"/>
      <c r="I230"/>
      <c r="J230"/>
      <c r="K230"/>
      <c r="L230"/>
      <c r="M230"/>
      <c r="N230"/>
      <c r="O230"/>
    </row>
    <row r="231" spans="2:15" ht="14.65" x14ac:dyDescent="0.45">
      <c r="B231"/>
      <c r="C231"/>
      <c r="D231"/>
      <c r="E231"/>
      <c r="H231"/>
      <c r="I231"/>
      <c r="J231"/>
      <c r="K231"/>
      <c r="L231"/>
      <c r="M231"/>
      <c r="N231"/>
      <c r="O231"/>
    </row>
    <row r="232" spans="2:15" ht="14.65" x14ac:dyDescent="0.45">
      <c r="B232"/>
      <c r="C232"/>
      <c r="D232"/>
      <c r="E232"/>
      <c r="H232"/>
      <c r="I232"/>
      <c r="J232"/>
      <c r="K232"/>
      <c r="L232"/>
      <c r="M232"/>
      <c r="N232"/>
      <c r="O232"/>
    </row>
    <row r="233" spans="2:15" ht="14.65" x14ac:dyDescent="0.45">
      <c r="B233"/>
      <c r="C233"/>
      <c r="D233"/>
      <c r="E233"/>
      <c r="H233"/>
      <c r="I233"/>
      <c r="J233"/>
      <c r="K233"/>
      <c r="L233"/>
      <c r="M233"/>
      <c r="N233"/>
      <c r="O233"/>
    </row>
    <row r="234" spans="2:15" ht="14.65" x14ac:dyDescent="0.45">
      <c r="B234"/>
      <c r="C234"/>
      <c r="D234"/>
      <c r="E234"/>
      <c r="H234"/>
      <c r="I234"/>
      <c r="J234"/>
      <c r="K234"/>
      <c r="L234"/>
      <c r="M234"/>
      <c r="N234"/>
      <c r="O234"/>
    </row>
    <row r="235" spans="2:15" ht="14.65" x14ac:dyDescent="0.45">
      <c r="B235"/>
      <c r="C235"/>
      <c r="D235"/>
      <c r="E235"/>
      <c r="H235"/>
      <c r="I235"/>
      <c r="J235"/>
      <c r="K235"/>
      <c r="L235"/>
      <c r="M235"/>
      <c r="N235"/>
      <c r="O235"/>
    </row>
    <row r="236" spans="2:15" ht="14.65" x14ac:dyDescent="0.45">
      <c r="B236"/>
      <c r="C236"/>
      <c r="D236"/>
      <c r="E236"/>
      <c r="H236"/>
      <c r="I236"/>
      <c r="J236"/>
      <c r="K236"/>
      <c r="L236"/>
      <c r="M236"/>
      <c r="N236"/>
      <c r="O236"/>
    </row>
    <row r="237" spans="2:15" ht="14.65" x14ac:dyDescent="0.45">
      <c r="B237"/>
      <c r="C237"/>
      <c r="D237"/>
      <c r="E237"/>
      <c r="H237"/>
      <c r="I237"/>
      <c r="J237"/>
      <c r="K237"/>
      <c r="L237"/>
      <c r="M237"/>
      <c r="N237"/>
      <c r="O237"/>
    </row>
    <row r="238" spans="2:15" ht="14.65" x14ac:dyDescent="0.45">
      <c r="B238"/>
      <c r="C238"/>
      <c r="D238"/>
      <c r="E238"/>
      <c r="H238"/>
      <c r="I238"/>
      <c r="J238"/>
      <c r="K238"/>
      <c r="L238"/>
      <c r="M238"/>
      <c r="N238"/>
      <c r="O238"/>
    </row>
    <row r="239" spans="2:15" ht="14.65" x14ac:dyDescent="0.45">
      <c r="B239"/>
      <c r="C239"/>
      <c r="D239"/>
      <c r="E239"/>
      <c r="H239"/>
      <c r="I239"/>
      <c r="J239"/>
      <c r="K239"/>
      <c r="L239"/>
      <c r="M239"/>
      <c r="N239"/>
      <c r="O239"/>
    </row>
    <row r="240" spans="2:15" ht="14.65" x14ac:dyDescent="0.45">
      <c r="B240"/>
      <c r="C240"/>
      <c r="D240"/>
      <c r="E240"/>
      <c r="H240"/>
      <c r="I240"/>
      <c r="J240"/>
      <c r="K240"/>
      <c r="L240"/>
      <c r="M240"/>
      <c r="N240"/>
      <c r="O240"/>
    </row>
    <row r="241" spans="2:15" ht="14.65" x14ac:dyDescent="0.45">
      <c r="B241"/>
      <c r="C241"/>
      <c r="D241"/>
      <c r="E241"/>
      <c r="H241"/>
      <c r="I241"/>
      <c r="J241"/>
      <c r="K241"/>
      <c r="L241"/>
      <c r="M241"/>
      <c r="N241"/>
      <c r="O241"/>
    </row>
    <row r="242" spans="2:15" ht="14.65" x14ac:dyDescent="0.45">
      <c r="B242"/>
      <c r="C242"/>
      <c r="D242"/>
      <c r="E242"/>
      <c r="H242"/>
      <c r="I242"/>
      <c r="J242"/>
      <c r="K242"/>
      <c r="L242"/>
      <c r="M242"/>
      <c r="N242"/>
      <c r="O242"/>
    </row>
    <row r="243" spans="2:15" ht="14.65" x14ac:dyDescent="0.45">
      <c r="B243"/>
      <c r="C243"/>
      <c r="D243"/>
      <c r="E243"/>
      <c r="H243"/>
      <c r="I243"/>
      <c r="J243"/>
      <c r="K243"/>
      <c r="L243"/>
      <c r="M243"/>
      <c r="N243"/>
      <c r="O243"/>
    </row>
    <row r="244" spans="2:15" ht="14.65" x14ac:dyDescent="0.45">
      <c r="B244"/>
      <c r="C244"/>
      <c r="D244"/>
      <c r="E244"/>
      <c r="H244"/>
      <c r="I244"/>
      <c r="J244"/>
      <c r="K244"/>
      <c r="L244"/>
      <c r="M244"/>
      <c r="N244"/>
      <c r="O244"/>
    </row>
    <row r="245" spans="2:15" ht="14.65" x14ac:dyDescent="0.45">
      <c r="B245"/>
      <c r="C245"/>
      <c r="D245"/>
      <c r="E245"/>
      <c r="H245"/>
      <c r="I245"/>
      <c r="J245"/>
      <c r="K245"/>
      <c r="L245"/>
      <c r="M245"/>
      <c r="N245"/>
      <c r="O245"/>
    </row>
    <row r="246" spans="2:15" ht="14.65" x14ac:dyDescent="0.45">
      <c r="B246"/>
      <c r="C246"/>
      <c r="D246"/>
      <c r="E246"/>
      <c r="H246"/>
      <c r="I246"/>
      <c r="J246"/>
      <c r="K246"/>
      <c r="L246"/>
      <c r="M246"/>
      <c r="N246"/>
      <c r="O246"/>
    </row>
    <row r="247" spans="2:15" ht="14.65" x14ac:dyDescent="0.45">
      <c r="B247"/>
      <c r="C247"/>
      <c r="D247"/>
      <c r="E247"/>
      <c r="H247"/>
      <c r="I247"/>
      <c r="J247"/>
      <c r="K247"/>
      <c r="L247"/>
      <c r="M247"/>
      <c r="N247"/>
      <c r="O247"/>
    </row>
    <row r="248" spans="2:15" ht="14.65" x14ac:dyDescent="0.45">
      <c r="B248"/>
      <c r="C248"/>
      <c r="D248"/>
      <c r="E248"/>
      <c r="H248"/>
      <c r="I248"/>
      <c r="J248"/>
      <c r="K248"/>
      <c r="L248"/>
      <c r="M248"/>
      <c r="N248"/>
      <c r="O248"/>
    </row>
    <row r="249" spans="2:15" ht="14.65" x14ac:dyDescent="0.45">
      <c r="B249"/>
      <c r="C249"/>
      <c r="D249"/>
      <c r="E249"/>
      <c r="H249"/>
      <c r="I249"/>
      <c r="J249"/>
      <c r="K249"/>
      <c r="L249"/>
      <c r="M249"/>
      <c r="N249"/>
      <c r="O249"/>
    </row>
    <row r="250" spans="2:15" ht="14.65" x14ac:dyDescent="0.45">
      <c r="B250"/>
      <c r="C250"/>
      <c r="D250"/>
      <c r="E250"/>
      <c r="H250"/>
      <c r="I250"/>
      <c r="J250"/>
      <c r="K250"/>
      <c r="L250"/>
      <c r="M250"/>
      <c r="N250"/>
      <c r="O250"/>
    </row>
    <row r="251" spans="2:15" ht="14.65" x14ac:dyDescent="0.45">
      <c r="B251"/>
      <c r="C251"/>
      <c r="D251"/>
      <c r="E251"/>
      <c r="H251"/>
      <c r="I251"/>
      <c r="J251"/>
      <c r="K251"/>
      <c r="L251"/>
      <c r="M251"/>
      <c r="N251"/>
      <c r="O251"/>
    </row>
    <row r="252" spans="2:15" ht="14.65" x14ac:dyDescent="0.45">
      <c r="B252"/>
      <c r="C252"/>
      <c r="D252"/>
      <c r="E252"/>
      <c r="H252"/>
      <c r="I252"/>
      <c r="J252"/>
      <c r="K252"/>
      <c r="L252"/>
      <c r="M252"/>
      <c r="N252"/>
      <c r="O252"/>
    </row>
    <row r="253" spans="2:15" ht="14.65" x14ac:dyDescent="0.45">
      <c r="B253"/>
      <c r="C253"/>
      <c r="D253"/>
      <c r="E253"/>
      <c r="H253"/>
      <c r="I253"/>
      <c r="J253"/>
      <c r="K253"/>
      <c r="L253"/>
      <c r="M253"/>
      <c r="N253"/>
      <c r="O253"/>
    </row>
    <row r="254" spans="2:15" ht="14.65" x14ac:dyDescent="0.45">
      <c r="B254"/>
      <c r="C254"/>
      <c r="D254"/>
      <c r="E254"/>
      <c r="H254"/>
      <c r="I254"/>
      <c r="J254"/>
      <c r="K254"/>
      <c r="L254"/>
      <c r="M254"/>
      <c r="N254"/>
      <c r="O254"/>
    </row>
    <row r="255" spans="2:15" ht="14.65" x14ac:dyDescent="0.45">
      <c r="B255"/>
      <c r="C255"/>
      <c r="D255"/>
      <c r="E255"/>
      <c r="H255"/>
      <c r="I255"/>
      <c r="J255"/>
      <c r="K255"/>
      <c r="L255"/>
      <c r="M255"/>
      <c r="N255"/>
      <c r="O255"/>
    </row>
    <row r="256" spans="2:15" ht="14.65" x14ac:dyDescent="0.45">
      <c r="B256"/>
      <c r="C256"/>
      <c r="D256"/>
      <c r="E256"/>
      <c r="H256"/>
      <c r="I256"/>
      <c r="J256"/>
      <c r="K256"/>
      <c r="L256"/>
      <c r="M256"/>
      <c r="N256"/>
      <c r="O256"/>
    </row>
    <row r="257" spans="2:15" ht="14.65" x14ac:dyDescent="0.45">
      <c r="B257"/>
      <c r="C257"/>
      <c r="D257"/>
      <c r="E257"/>
      <c r="H257"/>
      <c r="I257"/>
      <c r="J257"/>
      <c r="K257"/>
      <c r="L257"/>
      <c r="M257"/>
      <c r="N257"/>
      <c r="O257"/>
    </row>
    <row r="258" spans="2:15" ht="14.65" x14ac:dyDescent="0.45">
      <c r="B258"/>
      <c r="C258"/>
      <c r="D258"/>
      <c r="E258"/>
      <c r="H258"/>
      <c r="I258"/>
      <c r="J258"/>
      <c r="K258"/>
      <c r="L258"/>
      <c r="M258"/>
      <c r="N258"/>
      <c r="O258"/>
    </row>
    <row r="259" spans="2:15" ht="14.65" x14ac:dyDescent="0.45">
      <c r="B259"/>
      <c r="C259"/>
      <c r="D259"/>
      <c r="E259"/>
      <c r="H259"/>
      <c r="I259"/>
      <c r="J259"/>
      <c r="K259"/>
      <c r="L259"/>
      <c r="M259"/>
      <c r="N259"/>
      <c r="O259"/>
    </row>
    <row r="260" spans="2:15" ht="14.65" x14ac:dyDescent="0.45">
      <c r="B260"/>
      <c r="C260"/>
      <c r="D260"/>
      <c r="E260"/>
      <c r="H260"/>
      <c r="I260"/>
      <c r="J260"/>
      <c r="K260"/>
      <c r="L260"/>
      <c r="M260"/>
      <c r="N260"/>
      <c r="O260"/>
    </row>
    <row r="261" spans="2:15" ht="14.65" x14ac:dyDescent="0.45">
      <c r="B261"/>
      <c r="C261"/>
      <c r="D261"/>
      <c r="E261"/>
      <c r="H261"/>
      <c r="I261"/>
      <c r="J261"/>
      <c r="K261"/>
      <c r="L261"/>
      <c r="M261"/>
      <c r="N261"/>
      <c r="O261"/>
    </row>
    <row r="262" spans="2:15" ht="14.65" x14ac:dyDescent="0.45">
      <c r="B262"/>
      <c r="C262"/>
      <c r="D262"/>
      <c r="E262"/>
      <c r="H262"/>
      <c r="I262"/>
      <c r="J262"/>
      <c r="K262"/>
      <c r="L262"/>
      <c r="M262"/>
      <c r="N262"/>
      <c r="O262"/>
    </row>
    <row r="263" spans="2:15" ht="14.65" x14ac:dyDescent="0.45">
      <c r="B263"/>
      <c r="C263"/>
      <c r="D263"/>
      <c r="E263"/>
      <c r="H263"/>
      <c r="I263"/>
      <c r="J263"/>
      <c r="K263"/>
      <c r="L263"/>
      <c r="M263"/>
      <c r="N263"/>
      <c r="O263"/>
    </row>
    <row r="264" spans="2:15" ht="14.65" x14ac:dyDescent="0.45">
      <c r="B264"/>
      <c r="C264"/>
      <c r="D264"/>
      <c r="E264"/>
      <c r="H264"/>
      <c r="I264"/>
      <c r="J264"/>
      <c r="K264"/>
      <c r="L264"/>
      <c r="M264"/>
      <c r="N264"/>
      <c r="O264"/>
    </row>
    <row r="265" spans="2:15" ht="14.65" x14ac:dyDescent="0.45">
      <c r="B265"/>
      <c r="C265"/>
      <c r="D265"/>
      <c r="E265"/>
      <c r="H265"/>
      <c r="I265"/>
      <c r="J265"/>
      <c r="K265"/>
      <c r="L265"/>
      <c r="M265"/>
      <c r="N265"/>
      <c r="O265"/>
    </row>
    <row r="266" spans="2:15" ht="14.65" x14ac:dyDescent="0.45">
      <c r="B266"/>
      <c r="C266"/>
      <c r="D266"/>
      <c r="E266"/>
      <c r="H266"/>
      <c r="I266"/>
      <c r="J266"/>
      <c r="K266"/>
      <c r="L266"/>
      <c r="M266"/>
      <c r="N266"/>
      <c r="O266"/>
    </row>
    <row r="267" spans="2:15" ht="14.65" x14ac:dyDescent="0.45">
      <c r="B267"/>
      <c r="C267"/>
      <c r="D267"/>
      <c r="E267"/>
      <c r="H267"/>
      <c r="I267"/>
      <c r="J267"/>
      <c r="K267"/>
      <c r="L267"/>
      <c r="M267"/>
      <c r="N267"/>
      <c r="O267"/>
    </row>
    <row r="268" spans="2:15" ht="14.65" x14ac:dyDescent="0.45">
      <c r="B268"/>
      <c r="C268"/>
      <c r="D268"/>
      <c r="E268"/>
      <c r="H268"/>
      <c r="I268"/>
      <c r="J268"/>
      <c r="K268"/>
      <c r="L268"/>
      <c r="M268"/>
      <c r="N268"/>
      <c r="O268"/>
    </row>
    <row r="269" spans="2:15" ht="14.65" x14ac:dyDescent="0.45">
      <c r="B269"/>
      <c r="C269"/>
      <c r="D269"/>
      <c r="E269"/>
    </row>
    <row r="270" spans="2:15" ht="14.65" x14ac:dyDescent="0.45">
      <c r="B270"/>
      <c r="C270"/>
    </row>
    <row r="271" spans="2:15" ht="14.65" x14ac:dyDescent="0.45">
      <c r="B271"/>
      <c r="C271"/>
    </row>
    <row r="272" spans="2:15" ht="14.65" x14ac:dyDescent="0.45">
      <c r="B272"/>
      <c r="C272"/>
    </row>
  </sheetData>
  <phoneticPr fontId="6" type="noConversion"/>
  <conditionalFormatting pivot="1" sqref="J5:J14">
    <cfRule type="top10" dxfId="210" priority="2" rank="3"/>
  </conditionalFormatting>
  <pageMargins left="0.7" right="0.7" top="0.75" bottom="0.75" header="0.3" footer="0.3"/>
  <pageSetup orientation="portrait"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1107-9EE4-499A-833F-941E6AF7E051}">
  <sheetPr>
    <tabColor rgb="FF00B050"/>
  </sheetPr>
  <dimension ref="B1:N5"/>
  <sheetViews>
    <sheetView workbookViewId="0">
      <selection activeCell="D13" sqref="D13"/>
    </sheetView>
  </sheetViews>
  <sheetFormatPr defaultRowHeight="14.25" x14ac:dyDescent="0.45"/>
  <sheetData>
    <row r="1" spans="2:14" x14ac:dyDescent="0.45">
      <c r="K1">
        <v>52000</v>
      </c>
      <c r="M1">
        <v>65</v>
      </c>
      <c r="N1">
        <v>260</v>
      </c>
    </row>
    <row r="2" spans="2:14" x14ac:dyDescent="0.45">
      <c r="B2" t="s">
        <v>72</v>
      </c>
      <c r="C2">
        <v>375.01230952380956</v>
      </c>
      <c r="K2">
        <v>1600</v>
      </c>
      <c r="M2">
        <v>3380</v>
      </c>
      <c r="N2">
        <v>3900</v>
      </c>
    </row>
    <row r="3" spans="2:14" x14ac:dyDescent="0.45">
      <c r="B3" t="s">
        <v>74</v>
      </c>
      <c r="C3">
        <v>765.61249999999995</v>
      </c>
      <c r="D3" t="s">
        <v>76</v>
      </c>
      <c r="K3">
        <v>19200</v>
      </c>
    </row>
    <row r="4" spans="2:14" x14ac:dyDescent="0.45">
      <c r="B4" t="s">
        <v>73</v>
      </c>
      <c r="C4">
        <v>67</v>
      </c>
      <c r="D4" t="s">
        <v>77</v>
      </c>
    </row>
    <row r="5" spans="2:14" x14ac:dyDescent="0.45">
      <c r="B5" t="s">
        <v>75</v>
      </c>
      <c r="C5">
        <v>159.70002276642913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D1DEF-721D-4371-A4E1-05A2FB0D3EAE}">
  <sheetPr filterMode="1">
    <tabColor rgb="FF00B050"/>
  </sheetPr>
  <dimension ref="C2:G229"/>
  <sheetViews>
    <sheetView workbookViewId="0">
      <selection activeCell="C217" sqref="C5:C228"/>
      <pivotSelection pane="bottomRight" showHeader="1" axis="axisRow" activeRow="216" activeCol="2" previousRow="216" previousCol="2" click="1" r:id="rId1">
        <pivotArea dataOnly="0" labelOnly="1" fieldPosition="0">
          <references count="1">
            <reference field="3" count="0"/>
          </references>
        </pivotArea>
      </pivotSelection>
    </sheetView>
  </sheetViews>
  <sheetFormatPr defaultRowHeight="14.25" x14ac:dyDescent="0.45"/>
  <cols>
    <col min="1" max="1" width="11.265625" customWidth="1"/>
    <col min="3" max="3" width="12.33203125" bestFit="1" customWidth="1"/>
    <col min="4" max="4" width="21.53125" bestFit="1" customWidth="1"/>
    <col min="5" max="5" width="10.86328125" customWidth="1"/>
  </cols>
  <sheetData>
    <row r="2" spans="3:7" ht="18" thickBot="1" x14ac:dyDescent="0.5">
      <c r="C2" s="43" t="s">
        <v>48</v>
      </c>
      <c r="D2" s="42"/>
      <c r="G2" s="29"/>
    </row>
    <row r="3" spans="3:7" ht="16.149999999999999" thickBot="1" x14ac:dyDescent="0.5">
      <c r="C3" s="42" t="s">
        <v>3</v>
      </c>
      <c r="D3" s="42" t="s">
        <v>49</v>
      </c>
    </row>
    <row r="4" spans="3:7" x14ac:dyDescent="0.45">
      <c r="C4" s="38" t="s">
        <v>30</v>
      </c>
      <c r="D4" t="s">
        <v>50</v>
      </c>
    </row>
    <row r="5" spans="3:7" hidden="1" x14ac:dyDescent="0.45">
      <c r="C5" s="40">
        <v>45040</v>
      </c>
      <c r="D5">
        <v>0</v>
      </c>
    </row>
    <row r="6" spans="3:7" hidden="1" x14ac:dyDescent="0.45">
      <c r="C6" s="40">
        <v>45043</v>
      </c>
      <c r="D6">
        <v>0</v>
      </c>
    </row>
    <row r="7" spans="3:7" hidden="1" x14ac:dyDescent="0.45">
      <c r="C7" s="40">
        <v>45050</v>
      </c>
      <c r="D7">
        <v>0</v>
      </c>
    </row>
    <row r="8" spans="3:7" hidden="1" x14ac:dyDescent="0.45">
      <c r="C8" s="40">
        <v>45052</v>
      </c>
      <c r="D8">
        <v>0</v>
      </c>
    </row>
    <row r="9" spans="3:7" hidden="1" x14ac:dyDescent="0.45">
      <c r="C9" s="40">
        <v>45058</v>
      </c>
      <c r="D9">
        <v>0</v>
      </c>
    </row>
    <row r="10" spans="3:7" hidden="1" x14ac:dyDescent="0.45">
      <c r="C10" s="40">
        <v>45061</v>
      </c>
      <c r="D10">
        <v>0</v>
      </c>
    </row>
    <row r="11" spans="3:7" hidden="1" x14ac:dyDescent="0.45">
      <c r="C11" s="40">
        <v>45066</v>
      </c>
      <c r="D11">
        <v>0</v>
      </c>
    </row>
    <row r="12" spans="3:7" hidden="1" x14ac:dyDescent="0.45">
      <c r="C12" s="40">
        <v>45069</v>
      </c>
      <c r="D12">
        <v>0</v>
      </c>
    </row>
    <row r="13" spans="3:7" hidden="1" x14ac:dyDescent="0.45">
      <c r="C13" s="40">
        <v>45072</v>
      </c>
      <c r="D13">
        <v>0</v>
      </c>
    </row>
    <row r="14" spans="3:7" hidden="1" x14ac:dyDescent="0.45">
      <c r="C14" s="40">
        <v>45077</v>
      </c>
      <c r="D14">
        <v>0</v>
      </c>
    </row>
    <row r="15" spans="3:7" hidden="1" x14ac:dyDescent="0.45">
      <c r="C15" s="40">
        <v>45085</v>
      </c>
      <c r="D15">
        <v>0</v>
      </c>
    </row>
    <row r="16" spans="3:7" hidden="1" x14ac:dyDescent="0.45">
      <c r="C16" s="40">
        <v>45089</v>
      </c>
      <c r="D16">
        <v>0</v>
      </c>
    </row>
    <row r="17" spans="3:4" hidden="1" x14ac:dyDescent="0.45">
      <c r="C17" s="40">
        <v>45092</v>
      </c>
      <c r="D17">
        <v>0</v>
      </c>
    </row>
    <row r="18" spans="3:4" hidden="1" x14ac:dyDescent="0.45">
      <c r="C18" s="40">
        <v>45097</v>
      </c>
      <c r="D18">
        <v>0</v>
      </c>
    </row>
    <row r="19" spans="3:4" hidden="1" x14ac:dyDescent="0.45">
      <c r="C19" s="40">
        <v>45103</v>
      </c>
      <c r="D19">
        <v>0</v>
      </c>
    </row>
    <row r="20" spans="3:4" hidden="1" x14ac:dyDescent="0.45">
      <c r="C20" s="40">
        <v>45109</v>
      </c>
      <c r="D20">
        <v>0</v>
      </c>
    </row>
    <row r="21" spans="3:4" hidden="1" x14ac:dyDescent="0.45">
      <c r="C21" s="40">
        <v>45113</v>
      </c>
      <c r="D21">
        <v>0</v>
      </c>
    </row>
    <row r="22" spans="3:4" hidden="1" x14ac:dyDescent="0.45">
      <c r="C22" s="40">
        <v>45120</v>
      </c>
      <c r="D22">
        <v>0</v>
      </c>
    </row>
    <row r="23" spans="3:4" hidden="1" x14ac:dyDescent="0.45">
      <c r="C23" s="40">
        <v>45123</v>
      </c>
      <c r="D23">
        <v>0</v>
      </c>
    </row>
    <row r="24" spans="3:4" hidden="1" x14ac:dyDescent="0.45">
      <c r="C24" s="40">
        <v>45127</v>
      </c>
      <c r="D24">
        <v>0</v>
      </c>
    </row>
    <row r="25" spans="3:4" hidden="1" x14ac:dyDescent="0.45">
      <c r="C25" s="40">
        <v>45131</v>
      </c>
      <c r="D25">
        <v>0</v>
      </c>
    </row>
    <row r="26" spans="3:4" hidden="1" x14ac:dyDescent="0.45">
      <c r="C26" s="40">
        <v>45134</v>
      </c>
      <c r="D26">
        <v>0</v>
      </c>
    </row>
    <row r="27" spans="3:4" hidden="1" x14ac:dyDescent="0.45">
      <c r="C27" s="40">
        <v>45139</v>
      </c>
      <c r="D27">
        <v>0</v>
      </c>
    </row>
    <row r="28" spans="3:4" hidden="1" x14ac:dyDescent="0.45">
      <c r="C28" s="40">
        <v>45141</v>
      </c>
      <c r="D28">
        <v>0</v>
      </c>
    </row>
    <row r="29" spans="3:4" hidden="1" x14ac:dyDescent="0.45">
      <c r="C29" s="40">
        <v>45146</v>
      </c>
      <c r="D29">
        <v>0</v>
      </c>
    </row>
    <row r="30" spans="3:4" hidden="1" x14ac:dyDescent="0.45">
      <c r="C30" s="40">
        <v>45149</v>
      </c>
      <c r="D30">
        <v>0</v>
      </c>
    </row>
    <row r="31" spans="3:4" hidden="1" x14ac:dyDescent="0.45">
      <c r="C31" s="40">
        <v>45153</v>
      </c>
      <c r="D31">
        <v>0</v>
      </c>
    </row>
    <row r="32" spans="3:4" hidden="1" x14ac:dyDescent="0.45">
      <c r="C32" s="40">
        <v>45157</v>
      </c>
      <c r="D32">
        <v>0</v>
      </c>
    </row>
    <row r="33" spans="3:4" hidden="1" x14ac:dyDescent="0.45">
      <c r="C33" s="40">
        <v>45159</v>
      </c>
      <c r="D33">
        <v>0</v>
      </c>
    </row>
    <row r="34" spans="3:4" hidden="1" x14ac:dyDescent="0.45">
      <c r="C34" s="40">
        <v>45162</v>
      </c>
      <c r="D34">
        <v>0</v>
      </c>
    </row>
    <row r="35" spans="3:4" hidden="1" x14ac:dyDescent="0.45">
      <c r="C35" s="40">
        <v>45164</v>
      </c>
      <c r="D35">
        <v>0</v>
      </c>
    </row>
    <row r="36" spans="3:4" hidden="1" x14ac:dyDescent="0.45">
      <c r="C36" s="40">
        <v>45166</v>
      </c>
      <c r="D36">
        <v>0</v>
      </c>
    </row>
    <row r="37" spans="3:4" hidden="1" x14ac:dyDescent="0.45">
      <c r="C37" s="40">
        <v>45169</v>
      </c>
      <c r="D37">
        <v>0</v>
      </c>
    </row>
    <row r="38" spans="3:4" hidden="1" x14ac:dyDescent="0.45">
      <c r="C38" s="40">
        <v>45172</v>
      </c>
      <c r="D38">
        <v>0</v>
      </c>
    </row>
    <row r="39" spans="3:4" hidden="1" x14ac:dyDescent="0.45">
      <c r="C39" s="40">
        <v>45174</v>
      </c>
      <c r="D39">
        <v>0</v>
      </c>
    </row>
    <row r="40" spans="3:4" hidden="1" x14ac:dyDescent="0.45">
      <c r="C40" s="40">
        <v>45176</v>
      </c>
      <c r="D40">
        <v>0</v>
      </c>
    </row>
    <row r="41" spans="3:4" hidden="1" x14ac:dyDescent="0.45">
      <c r="C41" s="40">
        <v>45178</v>
      </c>
      <c r="D41">
        <v>0</v>
      </c>
    </row>
    <row r="42" spans="3:4" hidden="1" x14ac:dyDescent="0.45">
      <c r="C42" s="40">
        <v>45180</v>
      </c>
      <c r="D42">
        <v>0</v>
      </c>
    </row>
    <row r="43" spans="3:4" hidden="1" x14ac:dyDescent="0.45">
      <c r="C43" s="40">
        <v>45182</v>
      </c>
      <c r="D43">
        <v>0</v>
      </c>
    </row>
    <row r="44" spans="3:4" hidden="1" x14ac:dyDescent="0.45">
      <c r="C44" s="40">
        <v>45184</v>
      </c>
      <c r="D44">
        <v>0</v>
      </c>
    </row>
    <row r="45" spans="3:4" hidden="1" x14ac:dyDescent="0.45">
      <c r="C45" s="40">
        <v>45187</v>
      </c>
      <c r="D45">
        <v>0</v>
      </c>
    </row>
    <row r="46" spans="3:4" hidden="1" x14ac:dyDescent="0.45">
      <c r="C46" s="40">
        <v>45189</v>
      </c>
      <c r="D46">
        <v>0</v>
      </c>
    </row>
    <row r="47" spans="3:4" hidden="1" x14ac:dyDescent="0.45">
      <c r="C47" s="40">
        <v>45191</v>
      </c>
      <c r="D47">
        <v>0</v>
      </c>
    </row>
    <row r="48" spans="3:4" hidden="1" x14ac:dyDescent="0.45">
      <c r="C48" s="40">
        <v>45193</v>
      </c>
      <c r="D48">
        <v>0</v>
      </c>
    </row>
    <row r="49" spans="3:4" hidden="1" x14ac:dyDescent="0.45">
      <c r="C49" s="40">
        <v>45195</v>
      </c>
      <c r="D49">
        <v>0</v>
      </c>
    </row>
    <row r="50" spans="3:4" hidden="1" x14ac:dyDescent="0.45">
      <c r="C50" s="40">
        <v>45197</v>
      </c>
      <c r="D50">
        <v>0</v>
      </c>
    </row>
    <row r="51" spans="3:4" hidden="1" x14ac:dyDescent="0.45">
      <c r="C51" s="40">
        <v>45199</v>
      </c>
      <c r="D51">
        <v>0</v>
      </c>
    </row>
    <row r="52" spans="3:4" hidden="1" x14ac:dyDescent="0.45">
      <c r="C52" s="40">
        <v>45201</v>
      </c>
      <c r="D52">
        <v>0</v>
      </c>
    </row>
    <row r="53" spans="3:4" hidden="1" x14ac:dyDescent="0.45">
      <c r="C53" s="40">
        <v>45203</v>
      </c>
      <c r="D53">
        <v>0</v>
      </c>
    </row>
    <row r="54" spans="3:4" hidden="1" x14ac:dyDescent="0.45">
      <c r="C54" s="40">
        <v>45205</v>
      </c>
      <c r="D54">
        <v>0</v>
      </c>
    </row>
    <row r="55" spans="3:4" hidden="1" x14ac:dyDescent="0.45">
      <c r="C55" s="40">
        <v>45208</v>
      </c>
      <c r="D55">
        <v>0</v>
      </c>
    </row>
    <row r="56" spans="3:4" hidden="1" x14ac:dyDescent="0.45">
      <c r="C56" s="40">
        <v>45210</v>
      </c>
      <c r="D56">
        <v>0</v>
      </c>
    </row>
    <row r="57" spans="3:4" hidden="1" x14ac:dyDescent="0.45">
      <c r="C57" s="40">
        <v>45212</v>
      </c>
      <c r="D57">
        <v>0</v>
      </c>
    </row>
    <row r="58" spans="3:4" hidden="1" x14ac:dyDescent="0.45">
      <c r="C58" s="40">
        <v>45214</v>
      </c>
      <c r="D58">
        <v>0</v>
      </c>
    </row>
    <row r="59" spans="3:4" hidden="1" x14ac:dyDescent="0.45">
      <c r="C59" s="40">
        <v>45216</v>
      </c>
      <c r="D59">
        <v>0</v>
      </c>
    </row>
    <row r="60" spans="3:4" hidden="1" x14ac:dyDescent="0.45">
      <c r="C60" s="40">
        <v>45218</v>
      </c>
      <c r="D60">
        <v>0</v>
      </c>
    </row>
    <row r="61" spans="3:4" hidden="1" x14ac:dyDescent="0.45">
      <c r="C61" s="40">
        <v>45220</v>
      </c>
      <c r="D61">
        <v>0</v>
      </c>
    </row>
    <row r="62" spans="3:4" hidden="1" x14ac:dyDescent="0.45">
      <c r="C62" s="40">
        <v>45223</v>
      </c>
      <c r="D62">
        <v>0</v>
      </c>
    </row>
    <row r="63" spans="3:4" hidden="1" x14ac:dyDescent="0.45">
      <c r="C63" s="40">
        <v>45225</v>
      </c>
      <c r="D63">
        <v>0</v>
      </c>
    </row>
    <row r="64" spans="3:4" hidden="1" x14ac:dyDescent="0.45">
      <c r="C64" s="40">
        <v>45228</v>
      </c>
      <c r="D64">
        <v>0</v>
      </c>
    </row>
    <row r="65" spans="3:4" hidden="1" x14ac:dyDescent="0.45">
      <c r="C65" s="40">
        <v>45229</v>
      </c>
      <c r="D65">
        <v>0</v>
      </c>
    </row>
    <row r="66" spans="3:4" hidden="1" x14ac:dyDescent="0.45">
      <c r="C66" s="40">
        <v>45231</v>
      </c>
      <c r="D66">
        <v>0</v>
      </c>
    </row>
    <row r="67" spans="3:4" hidden="1" x14ac:dyDescent="0.45">
      <c r="C67" s="40">
        <v>45233</v>
      </c>
      <c r="D67">
        <v>0</v>
      </c>
    </row>
    <row r="68" spans="3:4" hidden="1" x14ac:dyDescent="0.45">
      <c r="C68" s="40">
        <v>45236</v>
      </c>
      <c r="D68">
        <v>0</v>
      </c>
    </row>
    <row r="69" spans="3:4" hidden="1" x14ac:dyDescent="0.45">
      <c r="C69" s="40">
        <v>45238</v>
      </c>
      <c r="D69">
        <v>0</v>
      </c>
    </row>
    <row r="70" spans="3:4" hidden="1" x14ac:dyDescent="0.45">
      <c r="C70" s="40">
        <v>45240</v>
      </c>
      <c r="D70">
        <v>0</v>
      </c>
    </row>
    <row r="71" spans="3:4" hidden="1" x14ac:dyDescent="0.45">
      <c r="C71" s="40">
        <v>45242</v>
      </c>
      <c r="D71">
        <v>0</v>
      </c>
    </row>
    <row r="72" spans="3:4" hidden="1" x14ac:dyDescent="0.45">
      <c r="C72" s="40">
        <v>45250</v>
      </c>
      <c r="D72">
        <v>0</v>
      </c>
    </row>
    <row r="73" spans="3:4" hidden="1" x14ac:dyDescent="0.45">
      <c r="C73" s="40">
        <v>45252</v>
      </c>
      <c r="D73">
        <v>0</v>
      </c>
    </row>
    <row r="74" spans="3:4" hidden="1" x14ac:dyDescent="0.45">
      <c r="C74" s="40">
        <v>45256</v>
      </c>
      <c r="D74">
        <v>0</v>
      </c>
    </row>
    <row r="75" spans="3:4" hidden="1" x14ac:dyDescent="0.45">
      <c r="C75" s="40">
        <v>45258</v>
      </c>
      <c r="D75">
        <v>0</v>
      </c>
    </row>
    <row r="76" spans="3:4" hidden="1" x14ac:dyDescent="0.45">
      <c r="C76" s="40">
        <v>45260</v>
      </c>
      <c r="D76">
        <v>0</v>
      </c>
    </row>
    <row r="77" spans="3:4" hidden="1" x14ac:dyDescent="0.45">
      <c r="C77" s="40">
        <v>45262</v>
      </c>
      <c r="D77">
        <v>0</v>
      </c>
    </row>
    <row r="78" spans="3:4" hidden="1" x14ac:dyDescent="0.45">
      <c r="C78" s="40">
        <v>45264</v>
      </c>
      <c r="D78">
        <v>0</v>
      </c>
    </row>
    <row r="79" spans="3:4" hidden="1" x14ac:dyDescent="0.45">
      <c r="C79" s="40">
        <v>45266</v>
      </c>
      <c r="D79">
        <v>0</v>
      </c>
    </row>
    <row r="80" spans="3:4" hidden="1" x14ac:dyDescent="0.45">
      <c r="C80" s="40">
        <v>45268</v>
      </c>
      <c r="D80">
        <v>0</v>
      </c>
    </row>
    <row r="81" spans="3:4" hidden="1" x14ac:dyDescent="0.45">
      <c r="C81" s="40">
        <v>45272</v>
      </c>
      <c r="D81">
        <v>0</v>
      </c>
    </row>
    <row r="82" spans="3:4" hidden="1" x14ac:dyDescent="0.45">
      <c r="C82" s="40">
        <v>45276</v>
      </c>
      <c r="D82">
        <v>0</v>
      </c>
    </row>
    <row r="83" spans="3:4" hidden="1" x14ac:dyDescent="0.45">
      <c r="C83" s="40">
        <v>45279</v>
      </c>
      <c r="D83">
        <v>0</v>
      </c>
    </row>
    <row r="84" spans="3:4" hidden="1" x14ac:dyDescent="0.45">
      <c r="C84" s="40">
        <v>45283</v>
      </c>
      <c r="D84">
        <v>0</v>
      </c>
    </row>
    <row r="85" spans="3:4" hidden="1" x14ac:dyDescent="0.45">
      <c r="C85" s="40">
        <v>45289</v>
      </c>
      <c r="D85">
        <v>0</v>
      </c>
    </row>
    <row r="86" spans="3:4" hidden="1" x14ac:dyDescent="0.45">
      <c r="C86" s="40">
        <v>45293</v>
      </c>
      <c r="D86">
        <v>0</v>
      </c>
    </row>
    <row r="87" spans="3:4" hidden="1" x14ac:dyDescent="0.45">
      <c r="C87" s="40">
        <v>45301</v>
      </c>
      <c r="D87">
        <v>0</v>
      </c>
    </row>
    <row r="88" spans="3:4" hidden="1" x14ac:dyDescent="0.45">
      <c r="C88" s="40">
        <v>45303</v>
      </c>
      <c r="D88">
        <v>0</v>
      </c>
    </row>
    <row r="89" spans="3:4" hidden="1" x14ac:dyDescent="0.45">
      <c r="C89" s="40">
        <v>45305</v>
      </c>
      <c r="D89">
        <v>0</v>
      </c>
    </row>
    <row r="90" spans="3:4" hidden="1" x14ac:dyDescent="0.45">
      <c r="C90" s="40">
        <v>45308</v>
      </c>
      <c r="D90">
        <v>0</v>
      </c>
    </row>
    <row r="91" spans="3:4" hidden="1" x14ac:dyDescent="0.45">
      <c r="C91" s="40">
        <v>45312</v>
      </c>
      <c r="D91">
        <v>0</v>
      </c>
    </row>
    <row r="92" spans="3:4" hidden="1" x14ac:dyDescent="0.45">
      <c r="C92" s="40">
        <v>45314</v>
      </c>
      <c r="D92">
        <v>0</v>
      </c>
    </row>
    <row r="93" spans="3:4" hidden="1" x14ac:dyDescent="0.45">
      <c r="C93" s="40">
        <v>45317</v>
      </c>
      <c r="D93">
        <v>0</v>
      </c>
    </row>
    <row r="94" spans="3:4" hidden="1" x14ac:dyDescent="0.45">
      <c r="C94" s="40">
        <v>45319</v>
      </c>
      <c r="D94">
        <v>0</v>
      </c>
    </row>
    <row r="95" spans="3:4" hidden="1" x14ac:dyDescent="0.45">
      <c r="C95" s="40">
        <v>45321</v>
      </c>
      <c r="D95">
        <v>0</v>
      </c>
    </row>
    <row r="96" spans="3:4" hidden="1" x14ac:dyDescent="0.45">
      <c r="C96" s="40">
        <v>45323</v>
      </c>
      <c r="D96">
        <v>0</v>
      </c>
    </row>
    <row r="97" spans="3:4" hidden="1" x14ac:dyDescent="0.45">
      <c r="C97" s="40">
        <v>45325</v>
      </c>
      <c r="D97">
        <v>0</v>
      </c>
    </row>
    <row r="98" spans="3:4" hidden="1" x14ac:dyDescent="0.45">
      <c r="C98" s="40">
        <v>45327</v>
      </c>
      <c r="D98">
        <v>0</v>
      </c>
    </row>
    <row r="99" spans="3:4" hidden="1" x14ac:dyDescent="0.45">
      <c r="C99" s="40">
        <v>45329</v>
      </c>
      <c r="D99">
        <v>0</v>
      </c>
    </row>
    <row r="100" spans="3:4" hidden="1" x14ac:dyDescent="0.45">
      <c r="C100" s="40">
        <v>45331</v>
      </c>
      <c r="D100">
        <v>0</v>
      </c>
    </row>
    <row r="101" spans="3:4" hidden="1" x14ac:dyDescent="0.45">
      <c r="C101" s="40">
        <v>45334</v>
      </c>
      <c r="D101">
        <v>0</v>
      </c>
    </row>
    <row r="102" spans="3:4" hidden="1" x14ac:dyDescent="0.45">
      <c r="C102" s="40">
        <v>45336</v>
      </c>
      <c r="D102">
        <v>0</v>
      </c>
    </row>
    <row r="103" spans="3:4" hidden="1" x14ac:dyDescent="0.45">
      <c r="C103" s="40">
        <v>45338</v>
      </c>
      <c r="D103">
        <v>0</v>
      </c>
    </row>
    <row r="104" spans="3:4" hidden="1" x14ac:dyDescent="0.45">
      <c r="C104" s="40">
        <v>45340</v>
      </c>
      <c r="D104">
        <v>0</v>
      </c>
    </row>
    <row r="105" spans="3:4" hidden="1" x14ac:dyDescent="0.45">
      <c r="C105" s="40">
        <v>45342</v>
      </c>
      <c r="D105">
        <v>0</v>
      </c>
    </row>
    <row r="106" spans="3:4" hidden="1" x14ac:dyDescent="0.45">
      <c r="C106" s="40">
        <v>45344</v>
      </c>
      <c r="D106">
        <v>0</v>
      </c>
    </row>
    <row r="107" spans="3:4" hidden="1" x14ac:dyDescent="0.45">
      <c r="C107" s="40">
        <v>45347</v>
      </c>
      <c r="D107">
        <v>0</v>
      </c>
    </row>
    <row r="108" spans="3:4" hidden="1" x14ac:dyDescent="0.45">
      <c r="C108" s="40">
        <v>45349</v>
      </c>
      <c r="D108">
        <v>0</v>
      </c>
    </row>
    <row r="109" spans="3:4" hidden="1" x14ac:dyDescent="0.45">
      <c r="C109" s="40">
        <v>45351</v>
      </c>
      <c r="D109">
        <v>0</v>
      </c>
    </row>
    <row r="110" spans="3:4" hidden="1" x14ac:dyDescent="0.45">
      <c r="C110" s="40">
        <v>45355</v>
      </c>
      <c r="D110">
        <v>0</v>
      </c>
    </row>
    <row r="111" spans="3:4" hidden="1" x14ac:dyDescent="0.45">
      <c r="C111" s="40">
        <v>45357</v>
      </c>
      <c r="D111">
        <v>0</v>
      </c>
    </row>
    <row r="112" spans="3:4" hidden="1" x14ac:dyDescent="0.45">
      <c r="C112" s="40">
        <v>45362</v>
      </c>
      <c r="D112">
        <v>0</v>
      </c>
    </row>
    <row r="113" spans="3:4" hidden="1" x14ac:dyDescent="0.45">
      <c r="C113" s="40">
        <v>45365</v>
      </c>
      <c r="D113">
        <v>0</v>
      </c>
    </row>
    <row r="114" spans="3:4" hidden="1" x14ac:dyDescent="0.45">
      <c r="C114" s="40">
        <v>45368</v>
      </c>
      <c r="D114">
        <v>0</v>
      </c>
    </row>
    <row r="115" spans="3:4" hidden="1" x14ac:dyDescent="0.45">
      <c r="C115" s="40">
        <v>45372</v>
      </c>
      <c r="D115">
        <v>0</v>
      </c>
    </row>
    <row r="116" spans="3:4" x14ac:dyDescent="0.45">
      <c r="C116" s="40">
        <v>45376</v>
      </c>
      <c r="D116" s="24">
        <v>167</v>
      </c>
    </row>
    <row r="117" spans="3:4" hidden="1" x14ac:dyDescent="0.45">
      <c r="C117" s="40">
        <v>45378</v>
      </c>
      <c r="D117">
        <v>0</v>
      </c>
    </row>
    <row r="118" spans="3:4" hidden="1" x14ac:dyDescent="0.45">
      <c r="C118" s="40">
        <v>45381</v>
      </c>
      <c r="D118">
        <v>0</v>
      </c>
    </row>
    <row r="119" spans="3:4" hidden="1" x14ac:dyDescent="0.45">
      <c r="C119" s="40">
        <v>45383</v>
      </c>
      <c r="D119">
        <v>0</v>
      </c>
    </row>
    <row r="120" spans="3:4" hidden="1" x14ac:dyDescent="0.45">
      <c r="C120" s="40">
        <v>45386</v>
      </c>
      <c r="D120">
        <v>0</v>
      </c>
    </row>
    <row r="121" spans="3:4" hidden="1" x14ac:dyDescent="0.45">
      <c r="C121" s="40">
        <v>45390</v>
      </c>
      <c r="D121">
        <v>0</v>
      </c>
    </row>
    <row r="122" spans="3:4" hidden="1" x14ac:dyDescent="0.45">
      <c r="C122" s="40">
        <v>45393</v>
      </c>
      <c r="D122">
        <v>0</v>
      </c>
    </row>
    <row r="123" spans="3:4" hidden="1" x14ac:dyDescent="0.45">
      <c r="C123" s="40">
        <v>45396</v>
      </c>
      <c r="D123">
        <v>0</v>
      </c>
    </row>
    <row r="124" spans="3:4" hidden="1" x14ac:dyDescent="0.45">
      <c r="C124" s="40">
        <v>45398</v>
      </c>
      <c r="D124">
        <v>0</v>
      </c>
    </row>
    <row r="125" spans="3:4" hidden="1" x14ac:dyDescent="0.45">
      <c r="C125" s="40">
        <v>45400</v>
      </c>
      <c r="D125">
        <v>0</v>
      </c>
    </row>
    <row r="126" spans="3:4" hidden="1" x14ac:dyDescent="0.45">
      <c r="C126" s="40">
        <v>45403</v>
      </c>
      <c r="D126">
        <v>0</v>
      </c>
    </row>
    <row r="127" spans="3:4" hidden="1" x14ac:dyDescent="0.45">
      <c r="C127" s="40">
        <v>45406</v>
      </c>
      <c r="D127">
        <v>0</v>
      </c>
    </row>
    <row r="128" spans="3:4" x14ac:dyDescent="0.45">
      <c r="C128" s="40">
        <v>45411</v>
      </c>
      <c r="D128" s="24">
        <v>371</v>
      </c>
    </row>
    <row r="129" spans="3:4" hidden="1" x14ac:dyDescent="0.45">
      <c r="C129" s="40">
        <v>45418</v>
      </c>
      <c r="D129">
        <v>0</v>
      </c>
    </row>
    <row r="130" spans="3:4" hidden="1" x14ac:dyDescent="0.45">
      <c r="C130" s="40">
        <v>45427</v>
      </c>
      <c r="D130">
        <v>0</v>
      </c>
    </row>
    <row r="131" spans="3:4" x14ac:dyDescent="0.45">
      <c r="C131" s="40">
        <v>45432</v>
      </c>
      <c r="D131" s="24">
        <v>206.15</v>
      </c>
    </row>
    <row r="132" spans="3:4" hidden="1" x14ac:dyDescent="0.45">
      <c r="C132" s="40">
        <v>45434</v>
      </c>
      <c r="D132">
        <v>0</v>
      </c>
    </row>
    <row r="133" spans="3:4" x14ac:dyDescent="0.45">
      <c r="C133" s="40">
        <v>45442</v>
      </c>
      <c r="D133" s="24">
        <v>321.75</v>
      </c>
    </row>
    <row r="134" spans="3:4" hidden="1" x14ac:dyDescent="0.45">
      <c r="C134" s="39" t="s">
        <v>51</v>
      </c>
    </row>
    <row r="135" spans="3:4" hidden="1" x14ac:dyDescent="0.45">
      <c r="C135" s="40">
        <v>45445</v>
      </c>
      <c r="D135">
        <v>0</v>
      </c>
    </row>
    <row r="136" spans="3:4" hidden="1" x14ac:dyDescent="0.45">
      <c r="C136" s="40">
        <v>45449</v>
      </c>
      <c r="D136">
        <v>0</v>
      </c>
    </row>
    <row r="137" spans="3:4" hidden="1" x14ac:dyDescent="0.45">
      <c r="C137" s="40">
        <v>45458</v>
      </c>
      <c r="D137">
        <v>0</v>
      </c>
    </row>
    <row r="138" spans="3:4" x14ac:dyDescent="0.45">
      <c r="C138" s="40">
        <v>45455</v>
      </c>
      <c r="D138" s="24">
        <v>329.8125</v>
      </c>
    </row>
    <row r="139" spans="3:4" hidden="1" x14ac:dyDescent="0.45">
      <c r="C139" s="40">
        <v>45461</v>
      </c>
      <c r="D139">
        <v>0</v>
      </c>
    </row>
    <row r="140" spans="3:4" hidden="1" x14ac:dyDescent="0.45">
      <c r="C140" s="40">
        <v>45473</v>
      </c>
      <c r="D140">
        <v>0</v>
      </c>
    </row>
    <row r="141" spans="3:4" hidden="1" x14ac:dyDescent="0.45">
      <c r="C141" s="40">
        <v>45478</v>
      </c>
      <c r="D141">
        <v>0</v>
      </c>
    </row>
    <row r="142" spans="3:4" hidden="1" x14ac:dyDescent="0.45">
      <c r="C142" s="40">
        <v>45490</v>
      </c>
      <c r="D142">
        <v>0</v>
      </c>
    </row>
    <row r="143" spans="3:4" hidden="1" x14ac:dyDescent="0.45">
      <c r="C143" s="40">
        <v>45495</v>
      </c>
      <c r="D143">
        <v>0</v>
      </c>
    </row>
    <row r="144" spans="3:4" hidden="1" x14ac:dyDescent="0.45">
      <c r="C144" s="40">
        <v>45468</v>
      </c>
      <c r="D144">
        <v>0</v>
      </c>
    </row>
    <row r="145" spans="3:4" hidden="1" x14ac:dyDescent="0.45">
      <c r="C145" s="40">
        <v>45499</v>
      </c>
      <c r="D145">
        <v>0</v>
      </c>
    </row>
    <row r="146" spans="3:4" hidden="1" x14ac:dyDescent="0.45">
      <c r="C146" s="40">
        <v>45506</v>
      </c>
      <c r="D146">
        <v>0</v>
      </c>
    </row>
    <row r="147" spans="3:4" hidden="1" x14ac:dyDescent="0.45">
      <c r="C147" s="40">
        <v>45503</v>
      </c>
      <c r="D147" s="2">
        <v>0</v>
      </c>
    </row>
    <row r="148" spans="3:4" x14ac:dyDescent="0.45">
      <c r="C148" s="40">
        <v>45512</v>
      </c>
      <c r="D148" s="24">
        <v>340.3</v>
      </c>
    </row>
    <row r="149" spans="3:4" hidden="1" x14ac:dyDescent="0.45">
      <c r="C149" s="40">
        <v>45517</v>
      </c>
      <c r="D149" s="2">
        <v>0</v>
      </c>
    </row>
    <row r="150" spans="3:4" hidden="1" x14ac:dyDescent="0.45">
      <c r="C150" s="40">
        <v>45523</v>
      </c>
      <c r="D150" s="2">
        <v>0</v>
      </c>
    </row>
    <row r="151" spans="3:4" hidden="1" x14ac:dyDescent="0.45">
      <c r="C151" s="40">
        <v>45530</v>
      </c>
      <c r="D151" s="2">
        <v>0</v>
      </c>
    </row>
    <row r="152" spans="3:4" hidden="1" x14ac:dyDescent="0.45">
      <c r="C152" s="40">
        <v>45531</v>
      </c>
      <c r="D152" s="2">
        <v>0</v>
      </c>
    </row>
    <row r="153" spans="3:4" x14ac:dyDescent="0.45">
      <c r="C153" s="40">
        <v>45534</v>
      </c>
      <c r="D153" s="24">
        <v>163.78</v>
      </c>
    </row>
    <row r="154" spans="3:4" hidden="1" x14ac:dyDescent="0.45">
      <c r="C154" s="40">
        <v>45537</v>
      </c>
      <c r="D154" s="2">
        <v>0</v>
      </c>
    </row>
    <row r="155" spans="3:4" hidden="1" x14ac:dyDescent="0.45">
      <c r="C155" s="40">
        <v>45539</v>
      </c>
      <c r="D155" s="2">
        <v>0</v>
      </c>
    </row>
    <row r="156" spans="3:4" x14ac:dyDescent="0.45">
      <c r="C156" s="40">
        <v>45544</v>
      </c>
      <c r="D156" s="24">
        <v>337.86</v>
      </c>
    </row>
    <row r="157" spans="3:4" hidden="1" x14ac:dyDescent="0.45">
      <c r="C157" s="40">
        <v>45608</v>
      </c>
      <c r="D157" s="2">
        <v>0</v>
      </c>
    </row>
    <row r="158" spans="3:4" hidden="1" x14ac:dyDescent="0.45">
      <c r="C158" s="40">
        <v>45611</v>
      </c>
      <c r="D158" s="2">
        <v>0</v>
      </c>
    </row>
    <row r="159" spans="3:4" x14ac:dyDescent="0.45">
      <c r="C159" s="40">
        <v>45613</v>
      </c>
      <c r="D159" s="24">
        <v>203.5</v>
      </c>
    </row>
    <row r="160" spans="3:4" hidden="1" x14ac:dyDescent="0.45">
      <c r="C160" s="40">
        <v>45615</v>
      </c>
      <c r="D160" s="2">
        <v>0</v>
      </c>
    </row>
    <row r="161" spans="3:4" hidden="1" x14ac:dyDescent="0.45">
      <c r="C161" s="40">
        <v>45618</v>
      </c>
      <c r="D161" s="6">
        <v>0</v>
      </c>
    </row>
    <row r="162" spans="3:4" hidden="1" x14ac:dyDescent="0.45">
      <c r="C162" s="40">
        <v>45623</v>
      </c>
      <c r="D162" s="6">
        <v>0</v>
      </c>
    </row>
    <row r="163" spans="3:4" hidden="1" x14ac:dyDescent="0.45">
      <c r="C163" s="40">
        <v>45626</v>
      </c>
      <c r="D163" s="6">
        <v>0</v>
      </c>
    </row>
    <row r="164" spans="3:4" hidden="1" x14ac:dyDescent="0.45">
      <c r="C164" s="40">
        <v>45631</v>
      </c>
      <c r="D164" s="6">
        <v>0</v>
      </c>
    </row>
    <row r="165" spans="3:4" hidden="1" x14ac:dyDescent="0.45">
      <c r="C165" s="40">
        <v>45634</v>
      </c>
      <c r="D165" s="6">
        <v>0</v>
      </c>
    </row>
    <row r="166" spans="3:4" hidden="1" x14ac:dyDescent="0.45">
      <c r="C166" s="40">
        <v>45637</v>
      </c>
      <c r="D166" s="6">
        <v>0</v>
      </c>
    </row>
    <row r="167" spans="3:4" hidden="1" x14ac:dyDescent="0.45">
      <c r="C167" s="40">
        <v>45642</v>
      </c>
      <c r="D167" s="6">
        <v>0</v>
      </c>
    </row>
    <row r="168" spans="3:4" hidden="1" x14ac:dyDescent="0.45">
      <c r="C168" s="40">
        <v>45649</v>
      </c>
      <c r="D168" s="6">
        <v>0</v>
      </c>
    </row>
    <row r="169" spans="3:4" hidden="1" x14ac:dyDescent="0.45">
      <c r="C169" s="40">
        <v>45652</v>
      </c>
      <c r="D169" s="6">
        <v>0</v>
      </c>
    </row>
    <row r="170" spans="3:4" hidden="1" x14ac:dyDescent="0.45">
      <c r="C170" s="40">
        <v>45661</v>
      </c>
      <c r="D170" s="6">
        <v>0</v>
      </c>
    </row>
    <row r="171" spans="3:4" hidden="1" x14ac:dyDescent="0.45">
      <c r="C171" s="40">
        <v>45665</v>
      </c>
      <c r="D171" s="6">
        <v>0</v>
      </c>
    </row>
    <row r="172" spans="3:4" hidden="1" x14ac:dyDescent="0.45">
      <c r="C172" s="40">
        <v>45670</v>
      </c>
      <c r="D172" s="6">
        <v>0</v>
      </c>
    </row>
    <row r="173" spans="3:4" hidden="1" x14ac:dyDescent="0.45">
      <c r="C173" s="40">
        <v>45677</v>
      </c>
      <c r="D173" s="6">
        <v>0</v>
      </c>
    </row>
    <row r="174" spans="3:4" hidden="1" x14ac:dyDescent="0.45">
      <c r="C174" s="40">
        <v>45681</v>
      </c>
      <c r="D174" s="6">
        <v>0</v>
      </c>
    </row>
    <row r="175" spans="3:4" hidden="1" x14ac:dyDescent="0.45">
      <c r="C175" s="40">
        <v>45686</v>
      </c>
      <c r="D175" s="6">
        <v>0</v>
      </c>
    </row>
    <row r="176" spans="3:4" hidden="1" x14ac:dyDescent="0.45">
      <c r="C176" s="40">
        <v>45692</v>
      </c>
      <c r="D176" s="6">
        <v>0</v>
      </c>
    </row>
    <row r="177" spans="3:4" hidden="1" x14ac:dyDescent="0.45">
      <c r="C177" s="40">
        <v>45695</v>
      </c>
      <c r="D177" s="6">
        <v>0</v>
      </c>
    </row>
    <row r="178" spans="3:4" hidden="1" x14ac:dyDescent="0.45">
      <c r="C178" s="40">
        <v>45701</v>
      </c>
      <c r="D178" s="6">
        <v>0</v>
      </c>
    </row>
    <row r="179" spans="3:4" hidden="1" x14ac:dyDescent="0.45">
      <c r="C179" s="40">
        <v>45706</v>
      </c>
      <c r="D179" s="6">
        <v>0</v>
      </c>
    </row>
    <row r="180" spans="3:4" hidden="1" x14ac:dyDescent="0.45">
      <c r="C180" s="40">
        <v>45717</v>
      </c>
      <c r="D180" s="6">
        <v>0</v>
      </c>
    </row>
    <row r="181" spans="3:4" hidden="1" x14ac:dyDescent="0.45">
      <c r="C181" s="40">
        <v>45723</v>
      </c>
      <c r="D181" s="6">
        <v>0</v>
      </c>
    </row>
    <row r="182" spans="3:4" hidden="1" x14ac:dyDescent="0.45">
      <c r="C182" s="40">
        <v>45727</v>
      </c>
      <c r="D182" s="6">
        <v>0</v>
      </c>
    </row>
    <row r="183" spans="3:4" hidden="1" x14ac:dyDescent="0.45">
      <c r="C183" s="40">
        <v>45736</v>
      </c>
      <c r="D183" s="6">
        <v>0</v>
      </c>
    </row>
    <row r="184" spans="3:4" hidden="1" x14ac:dyDescent="0.45">
      <c r="C184" s="40">
        <v>45742</v>
      </c>
      <c r="D184" s="6">
        <v>0</v>
      </c>
    </row>
    <row r="185" spans="3:4" hidden="1" x14ac:dyDescent="0.45">
      <c r="C185" s="40">
        <v>45749</v>
      </c>
      <c r="D185" s="6">
        <v>0</v>
      </c>
    </row>
    <row r="186" spans="3:4" hidden="1" x14ac:dyDescent="0.45">
      <c r="C186" s="40">
        <v>45754</v>
      </c>
      <c r="D186" s="6">
        <v>0</v>
      </c>
    </row>
    <row r="187" spans="3:4" hidden="1" x14ac:dyDescent="0.45">
      <c r="C187" s="40">
        <v>45758</v>
      </c>
      <c r="D187" s="6">
        <v>0</v>
      </c>
    </row>
    <row r="188" spans="3:4" hidden="1" x14ac:dyDescent="0.45">
      <c r="C188" s="40">
        <v>45768</v>
      </c>
      <c r="D188" s="6">
        <v>0</v>
      </c>
    </row>
    <row r="189" spans="3:4" hidden="1" x14ac:dyDescent="0.45">
      <c r="C189" s="40">
        <v>45776</v>
      </c>
      <c r="D189" s="6">
        <v>0</v>
      </c>
    </row>
    <row r="190" spans="3:4" hidden="1" x14ac:dyDescent="0.45">
      <c r="C190" s="40">
        <v>45784</v>
      </c>
      <c r="D190" s="6">
        <v>0</v>
      </c>
    </row>
    <row r="191" spans="3:4" x14ac:dyDescent="0.45">
      <c r="C191" s="40">
        <v>45791</v>
      </c>
      <c r="D191" s="24">
        <v>391.4</v>
      </c>
    </row>
    <row r="192" spans="3:4" hidden="1" x14ac:dyDescent="0.45">
      <c r="C192" s="40">
        <v>45797</v>
      </c>
      <c r="D192" s="6">
        <v>0</v>
      </c>
    </row>
    <row r="193" spans="3:4" hidden="1" x14ac:dyDescent="0.45">
      <c r="C193" s="40">
        <v>45804</v>
      </c>
      <c r="D193" s="6">
        <v>0</v>
      </c>
    </row>
    <row r="194" spans="3:4" x14ac:dyDescent="0.45">
      <c r="C194" s="40">
        <v>45811</v>
      </c>
      <c r="D194" s="24">
        <v>261.43</v>
      </c>
    </row>
    <row r="195" spans="3:4" x14ac:dyDescent="0.45">
      <c r="C195" s="40">
        <v>45818</v>
      </c>
      <c r="D195" s="24">
        <v>286.12</v>
      </c>
    </row>
    <row r="196" spans="3:4" hidden="1" x14ac:dyDescent="0.45">
      <c r="C196" s="40">
        <v>45826</v>
      </c>
      <c r="D196">
        <v>0</v>
      </c>
    </row>
    <row r="197" spans="3:4" hidden="1" x14ac:dyDescent="0.45">
      <c r="C197" s="40">
        <v>45833</v>
      </c>
      <c r="D197">
        <v>0</v>
      </c>
    </row>
    <row r="198" spans="3:4" hidden="1" x14ac:dyDescent="0.45">
      <c r="C198" s="40">
        <v>45839</v>
      </c>
      <c r="D198">
        <v>0</v>
      </c>
    </row>
    <row r="199" spans="3:4" hidden="1" x14ac:dyDescent="0.45">
      <c r="C199" s="40">
        <v>45985</v>
      </c>
      <c r="D199">
        <v>0</v>
      </c>
    </row>
    <row r="200" spans="3:4" hidden="1" x14ac:dyDescent="0.45">
      <c r="C200" s="40">
        <v>45992</v>
      </c>
      <c r="D200">
        <v>0</v>
      </c>
    </row>
    <row r="201" spans="3:4" hidden="1" x14ac:dyDescent="0.45">
      <c r="C201" s="40">
        <v>45999</v>
      </c>
      <c r="D201">
        <v>0</v>
      </c>
    </row>
    <row r="202" spans="3:4" hidden="1" x14ac:dyDescent="0.45">
      <c r="C202" s="40">
        <v>46003</v>
      </c>
      <c r="D202">
        <v>0</v>
      </c>
    </row>
    <row r="203" spans="3:4" hidden="1" x14ac:dyDescent="0.45">
      <c r="C203" s="40">
        <v>46006</v>
      </c>
      <c r="D203">
        <v>0</v>
      </c>
    </row>
    <row r="204" spans="3:4" hidden="1" x14ac:dyDescent="0.45">
      <c r="C204" s="40">
        <v>46013</v>
      </c>
      <c r="D204">
        <v>0</v>
      </c>
    </row>
    <row r="205" spans="3:4" hidden="1" x14ac:dyDescent="0.45">
      <c r="C205" s="40">
        <v>46018</v>
      </c>
      <c r="D205">
        <v>0</v>
      </c>
    </row>
    <row r="206" spans="3:4" hidden="1" x14ac:dyDescent="0.45">
      <c r="C206" s="40">
        <v>46020</v>
      </c>
      <c r="D206">
        <v>0</v>
      </c>
    </row>
    <row r="207" spans="3:4" x14ac:dyDescent="0.45">
      <c r="C207" s="40">
        <v>46027</v>
      </c>
      <c r="D207" s="2">
        <v>0</v>
      </c>
    </row>
    <row r="208" spans="3:4" x14ac:dyDescent="0.45">
      <c r="C208" s="40">
        <v>46034</v>
      </c>
      <c r="D208" s="2">
        <v>0</v>
      </c>
    </row>
    <row r="209" spans="3:4" x14ac:dyDescent="0.45">
      <c r="C209" s="40">
        <v>46041</v>
      </c>
      <c r="D209" s="2">
        <v>0</v>
      </c>
    </row>
    <row r="210" spans="3:4" x14ac:dyDescent="0.45">
      <c r="C210" s="40">
        <v>46048</v>
      </c>
      <c r="D210" s="2">
        <v>0</v>
      </c>
    </row>
    <row r="211" spans="3:4" x14ac:dyDescent="0.45">
      <c r="C211" s="39" t="s">
        <v>87</v>
      </c>
      <c r="D211" s="2">
        <v>0</v>
      </c>
    </row>
    <row r="212" spans="3:4" x14ac:dyDescent="0.45">
      <c r="C212" s="40">
        <v>46055</v>
      </c>
      <c r="D212" s="2">
        <v>0</v>
      </c>
    </row>
    <row r="213" spans="3:4" x14ac:dyDescent="0.45">
      <c r="C213" s="40">
        <v>46057</v>
      </c>
      <c r="D213" s="2">
        <v>0</v>
      </c>
    </row>
    <row r="214" spans="3:4" x14ac:dyDescent="0.45">
      <c r="C214" s="40">
        <v>46062</v>
      </c>
      <c r="D214" s="2">
        <v>0</v>
      </c>
    </row>
    <row r="215" spans="3:4" x14ac:dyDescent="0.45">
      <c r="C215" s="40">
        <v>46069</v>
      </c>
      <c r="D215" s="2">
        <v>0</v>
      </c>
    </row>
    <row r="216" spans="3:4" x14ac:dyDescent="0.45">
      <c r="C216" s="40">
        <v>46076</v>
      </c>
      <c r="D216" s="2">
        <v>0</v>
      </c>
    </row>
    <row r="217" spans="3:4" x14ac:dyDescent="0.45">
      <c r="C217" s="40">
        <v>46081</v>
      </c>
      <c r="D217" s="2">
        <v>0</v>
      </c>
    </row>
    <row r="218" spans="3:4" x14ac:dyDescent="0.45">
      <c r="C218" s="40">
        <v>46083</v>
      </c>
      <c r="D218" s="2">
        <v>0</v>
      </c>
    </row>
    <row r="219" spans="3:4" x14ac:dyDescent="0.45">
      <c r="C219" s="40">
        <v>46090</v>
      </c>
      <c r="D219" s="2">
        <v>0</v>
      </c>
    </row>
    <row r="220" spans="3:4" x14ac:dyDescent="0.45">
      <c r="C220" s="40">
        <v>46097</v>
      </c>
      <c r="D220" s="2">
        <v>182.34</v>
      </c>
    </row>
    <row r="221" spans="3:4" x14ac:dyDescent="0.45">
      <c r="C221" s="40">
        <v>46103</v>
      </c>
      <c r="D221" s="2">
        <v>0</v>
      </c>
    </row>
    <row r="222" spans="3:4" x14ac:dyDescent="0.45">
      <c r="C222" s="40">
        <v>46104</v>
      </c>
      <c r="D222" s="2">
        <v>0</v>
      </c>
    </row>
    <row r="223" spans="3:4" x14ac:dyDescent="0.45">
      <c r="C223" s="40">
        <v>46111</v>
      </c>
      <c r="D223" s="2">
        <v>0</v>
      </c>
    </row>
    <row r="224" spans="3:4" x14ac:dyDescent="0.45">
      <c r="C224" s="40">
        <v>46118</v>
      </c>
      <c r="D224" s="2">
        <v>0</v>
      </c>
    </row>
    <row r="225" spans="3:4" x14ac:dyDescent="0.45">
      <c r="C225" s="40">
        <v>46125</v>
      </c>
      <c r="D225" s="2">
        <v>0</v>
      </c>
    </row>
    <row r="226" spans="3:4" x14ac:dyDescent="0.45">
      <c r="C226" s="40">
        <v>46132</v>
      </c>
      <c r="D226" s="2">
        <v>0</v>
      </c>
    </row>
    <row r="227" spans="3:4" x14ac:dyDescent="0.45">
      <c r="C227" s="40">
        <v>46139</v>
      </c>
      <c r="D227" s="2">
        <v>0</v>
      </c>
    </row>
    <row r="228" spans="3:4" x14ac:dyDescent="0.45">
      <c r="C228" s="40">
        <v>46146</v>
      </c>
      <c r="D228" s="2">
        <v>520.44000000000005</v>
      </c>
    </row>
    <row r="229" spans="3:4" ht="15.75" x14ac:dyDescent="0.45">
      <c r="C229" s="64" t="s">
        <v>31</v>
      </c>
      <c r="D229" s="44">
        <v>4082.8825000000002</v>
      </c>
    </row>
  </sheetData>
  <autoFilter ref="C3:D207" xr:uid="{115D1DEF-721D-4371-A4E1-05A2FB0D3EAE}">
    <filterColumn colId="1">
      <customFilters>
        <customFilter operator="notEqual" val=" "/>
      </customFilters>
    </filterColumn>
  </autoFilter>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E0797-E805-4A96-AC4A-E28A191268B0}">
  <dimension ref="A1:O139"/>
  <sheetViews>
    <sheetView workbookViewId="0">
      <selection activeCell="G33" sqref="G33"/>
    </sheetView>
  </sheetViews>
  <sheetFormatPr defaultRowHeight="14.25" x14ac:dyDescent="0.45"/>
  <cols>
    <col min="1" max="1" width="12.33203125" bestFit="1" customWidth="1"/>
    <col min="2" max="2" width="7.1328125" style="29" bestFit="1" customWidth="1"/>
    <col min="3" max="3" width="7.1328125" bestFit="1" customWidth="1"/>
    <col min="4" max="4" width="12.265625" bestFit="1" customWidth="1"/>
    <col min="5" max="5" width="21.73046875" bestFit="1" customWidth="1"/>
    <col min="6" max="6" width="12.33203125" bestFit="1" customWidth="1"/>
    <col min="7" max="7" width="16.73046875" bestFit="1" customWidth="1"/>
    <col min="8" max="8" width="15.6640625" bestFit="1" customWidth="1"/>
    <col min="9" max="9" width="13.3984375" bestFit="1" customWidth="1"/>
    <col min="10" max="10" width="13.1328125" bestFit="1" customWidth="1"/>
    <col min="13" max="13" width="13.1328125" style="7" customWidth="1"/>
    <col min="14" max="14" width="16" style="2" bestFit="1" customWidth="1"/>
    <col min="15" max="15" width="12.3984375" style="2" customWidth="1"/>
  </cols>
  <sheetData>
    <row r="1" spans="1:15" x14ac:dyDescent="0.45">
      <c r="M1" s="9" t="s">
        <v>3</v>
      </c>
      <c r="N1" s="45" t="s">
        <v>6</v>
      </c>
      <c r="O1" s="5" t="s">
        <v>7</v>
      </c>
    </row>
    <row r="2" spans="1:15" x14ac:dyDescent="0.45">
      <c r="M2" s="10">
        <v>45250</v>
      </c>
      <c r="N2" s="6">
        <f>257+167+154</f>
        <v>578</v>
      </c>
      <c r="O2" s="6">
        <f t="shared" ref="O2:O33" si="0">N2-8</f>
        <v>570</v>
      </c>
    </row>
    <row r="3" spans="1:15" x14ac:dyDescent="0.45">
      <c r="A3" s="38" t="s">
        <v>30</v>
      </c>
      <c r="B3" s="29" t="s">
        <v>52</v>
      </c>
      <c r="F3" s="46" t="s">
        <v>30</v>
      </c>
      <c r="G3" t="s">
        <v>53</v>
      </c>
      <c r="H3" t="s">
        <v>54</v>
      </c>
      <c r="I3" t="s">
        <v>55</v>
      </c>
      <c r="J3" t="s">
        <v>56</v>
      </c>
      <c r="M3" s="10">
        <v>45458</v>
      </c>
      <c r="N3" s="6">
        <f>126.8+191+134</f>
        <v>451.8</v>
      </c>
      <c r="O3" s="6">
        <f t="shared" si="0"/>
        <v>443.8</v>
      </c>
    </row>
    <row r="4" spans="1:15" x14ac:dyDescent="0.45">
      <c r="A4">
        <v>1</v>
      </c>
      <c r="B4" s="29">
        <v>557.14</v>
      </c>
      <c r="F4" s="39" t="s">
        <v>51</v>
      </c>
      <c r="G4" s="29"/>
      <c r="H4" s="29"/>
      <c r="I4" s="29"/>
      <c r="J4" s="29"/>
      <c r="M4" s="10">
        <v>45490</v>
      </c>
      <c r="N4" s="6">
        <f>83.58+179.58+186.5</f>
        <v>449.66</v>
      </c>
      <c r="O4" s="6">
        <f t="shared" si="0"/>
        <v>441.66</v>
      </c>
    </row>
    <row r="5" spans="1:15" x14ac:dyDescent="0.45">
      <c r="A5">
        <v>2</v>
      </c>
      <c r="B5" s="29">
        <v>1414.44</v>
      </c>
      <c r="F5" s="39">
        <v>1</v>
      </c>
      <c r="G5" s="29">
        <v>557.14</v>
      </c>
      <c r="H5" s="29" t="e">
        <v>#DIV/0!</v>
      </c>
      <c r="I5" s="29">
        <v>557.14</v>
      </c>
      <c r="J5" s="29">
        <v>557.14</v>
      </c>
      <c r="M5" s="10">
        <v>45449</v>
      </c>
      <c r="N5" s="6">
        <f>115.82+161.68+170.48</f>
        <v>447.98</v>
      </c>
      <c r="O5" s="6">
        <f t="shared" si="0"/>
        <v>439.98</v>
      </c>
    </row>
    <row r="6" spans="1:15" x14ac:dyDescent="0.45">
      <c r="A6">
        <v>3</v>
      </c>
      <c r="B6" s="29">
        <v>541.54999999999995</v>
      </c>
      <c r="F6" s="39">
        <v>2</v>
      </c>
      <c r="G6" s="29">
        <v>1414.44</v>
      </c>
      <c r="H6" s="29" t="e">
        <v>#DIV/0!</v>
      </c>
      <c r="I6" s="29">
        <v>1414.44</v>
      </c>
      <c r="J6" s="29">
        <v>1414.44</v>
      </c>
      <c r="M6" s="10">
        <v>45473</v>
      </c>
      <c r="N6" s="6">
        <f>112.04+138.84+147.76</f>
        <v>398.64</v>
      </c>
      <c r="O6" s="6">
        <f t="shared" si="0"/>
        <v>390.64</v>
      </c>
    </row>
    <row r="7" spans="1:15" x14ac:dyDescent="0.45">
      <c r="A7">
        <v>4</v>
      </c>
      <c r="B7" s="29">
        <v>2158.58</v>
      </c>
      <c r="F7" s="39">
        <v>3</v>
      </c>
      <c r="G7" s="29">
        <v>541.54999999999995</v>
      </c>
      <c r="H7" s="29" t="e">
        <v>#DIV/0!</v>
      </c>
      <c r="I7" s="29">
        <v>541.54999999999995</v>
      </c>
      <c r="J7" s="29">
        <v>541.54999999999995</v>
      </c>
      <c r="M7" s="10">
        <v>45301</v>
      </c>
      <c r="N7" s="6">
        <f>184+198</f>
        <v>382</v>
      </c>
      <c r="O7" s="6">
        <f t="shared" si="0"/>
        <v>374</v>
      </c>
    </row>
    <row r="8" spans="1:15" x14ac:dyDescent="0.45">
      <c r="A8">
        <v>5</v>
      </c>
      <c r="B8" s="29">
        <v>1621.1999999999998</v>
      </c>
      <c r="F8" s="39">
        <v>4</v>
      </c>
      <c r="G8" s="29">
        <v>2158.58</v>
      </c>
      <c r="H8" s="29" t="e">
        <v>#DIV/0!</v>
      </c>
      <c r="I8" s="29">
        <v>2158.58</v>
      </c>
      <c r="J8" s="29">
        <v>2158.58</v>
      </c>
      <c r="M8" s="10">
        <v>45411</v>
      </c>
      <c r="N8" s="6">
        <f>199+180</f>
        <v>379</v>
      </c>
      <c r="O8" s="6">
        <f t="shared" si="0"/>
        <v>371</v>
      </c>
    </row>
    <row r="9" spans="1:15" x14ac:dyDescent="0.45">
      <c r="A9">
        <v>6</v>
      </c>
      <c r="B9" s="29">
        <v>1939.9800000000002</v>
      </c>
      <c r="F9" s="39">
        <v>5</v>
      </c>
      <c r="G9" s="29">
        <v>1621.1999999999998</v>
      </c>
      <c r="H9" s="29" t="e">
        <v>#DIV/0!</v>
      </c>
      <c r="I9" s="29">
        <v>1621.1999999999998</v>
      </c>
      <c r="J9" s="29">
        <v>1621.1999999999998</v>
      </c>
      <c r="M9" s="10">
        <v>45390</v>
      </c>
      <c r="N9" s="6">
        <v>377</v>
      </c>
      <c r="O9" s="6">
        <f t="shared" si="0"/>
        <v>369</v>
      </c>
    </row>
    <row r="10" spans="1:15" x14ac:dyDescent="0.45">
      <c r="A10">
        <v>7</v>
      </c>
      <c r="B10" s="29">
        <v>1765.8400000000001</v>
      </c>
      <c r="F10" s="39">
        <v>6</v>
      </c>
      <c r="G10" s="29">
        <v>1939.9800000000002</v>
      </c>
      <c r="H10" s="29" t="e">
        <v>#DIV/0!</v>
      </c>
      <c r="I10" s="29">
        <v>1939.9800000000002</v>
      </c>
      <c r="J10" s="29">
        <v>1939.9800000000002</v>
      </c>
      <c r="M10" s="10">
        <v>45432</v>
      </c>
      <c r="N10" s="6">
        <f>169.9+206.15</f>
        <v>376.05</v>
      </c>
      <c r="O10" s="6">
        <f t="shared" si="0"/>
        <v>368.05</v>
      </c>
    </row>
    <row r="11" spans="1:15" x14ac:dyDescent="0.45">
      <c r="A11">
        <v>8</v>
      </c>
      <c r="B11" s="29">
        <v>2040.6399999999999</v>
      </c>
      <c r="F11" s="39">
        <v>7</v>
      </c>
      <c r="G11" s="29">
        <v>1765.8400000000001</v>
      </c>
      <c r="H11" s="29" t="e">
        <v>#DIV/0!</v>
      </c>
      <c r="I11" s="29">
        <v>1765.8400000000001</v>
      </c>
      <c r="J11" s="29">
        <v>1765.8400000000001</v>
      </c>
      <c r="M11" s="10">
        <v>45442</v>
      </c>
      <c r="N11" s="6">
        <f>198+175</f>
        <v>373</v>
      </c>
      <c r="O11" s="6">
        <f t="shared" si="0"/>
        <v>365</v>
      </c>
    </row>
    <row r="12" spans="1:15" x14ac:dyDescent="0.45">
      <c r="A12">
        <v>9</v>
      </c>
      <c r="B12" s="29">
        <v>2880.7400000000002</v>
      </c>
      <c r="F12" s="39">
        <v>8</v>
      </c>
      <c r="G12" s="29">
        <v>2040.6399999999999</v>
      </c>
      <c r="H12" s="29" t="e">
        <v>#DIV/0!</v>
      </c>
      <c r="I12" s="29">
        <v>2040.6399999999999</v>
      </c>
      <c r="J12" s="29">
        <v>2040.6399999999999</v>
      </c>
      <c r="M12" s="10">
        <v>45478</v>
      </c>
      <c r="N12" s="6">
        <f>195.48+177.08</f>
        <v>372.56</v>
      </c>
      <c r="O12" s="6">
        <f t="shared" si="0"/>
        <v>364.56</v>
      </c>
    </row>
    <row r="13" spans="1:15" x14ac:dyDescent="0.45">
      <c r="A13">
        <v>10</v>
      </c>
      <c r="B13" s="29">
        <v>976.11000000000013</v>
      </c>
      <c r="F13" s="39">
        <v>9</v>
      </c>
      <c r="G13" s="29">
        <v>2880.7400000000002</v>
      </c>
      <c r="H13" s="29" t="e">
        <v>#DIV/0!</v>
      </c>
      <c r="I13" s="29">
        <v>2880.7400000000002</v>
      </c>
      <c r="J13" s="29">
        <v>2880.7400000000002</v>
      </c>
      <c r="M13" s="10">
        <v>45455</v>
      </c>
      <c r="N13" s="6">
        <f>155.375+174.4375</f>
        <v>329.8125</v>
      </c>
      <c r="O13" s="6">
        <f t="shared" si="0"/>
        <v>321.8125</v>
      </c>
    </row>
    <row r="14" spans="1:15" x14ac:dyDescent="0.45">
      <c r="A14">
        <v>11</v>
      </c>
      <c r="B14" s="29">
        <v>1763.7</v>
      </c>
      <c r="F14" s="39">
        <v>10</v>
      </c>
      <c r="G14" s="29">
        <v>976.11000000000013</v>
      </c>
      <c r="H14" s="29" t="e">
        <v>#DIV/0!</v>
      </c>
      <c r="I14" s="29">
        <v>976.11000000000013</v>
      </c>
      <c r="J14" s="29">
        <v>976.11000000000013</v>
      </c>
      <c r="M14" s="10">
        <v>45418</v>
      </c>
      <c r="N14" s="6">
        <f>190.14+127.2</f>
        <v>317.33999999999997</v>
      </c>
      <c r="O14" s="6">
        <f t="shared" si="0"/>
        <v>309.33999999999997</v>
      </c>
    </row>
    <row r="15" spans="1:15" x14ac:dyDescent="0.45">
      <c r="A15">
        <v>12</v>
      </c>
      <c r="B15" s="29">
        <v>1713.0399999999997</v>
      </c>
      <c r="F15" s="39">
        <v>11</v>
      </c>
      <c r="G15" s="29">
        <v>1763.7</v>
      </c>
      <c r="H15" s="29" t="e">
        <v>#DIV/0!</v>
      </c>
      <c r="I15" s="29">
        <v>1763.7</v>
      </c>
      <c r="J15" s="29">
        <v>1763.7</v>
      </c>
      <c r="M15" s="10">
        <v>45355</v>
      </c>
      <c r="N15" s="6">
        <f>156*2</f>
        <v>312</v>
      </c>
      <c r="O15" s="6">
        <f t="shared" si="0"/>
        <v>304</v>
      </c>
    </row>
    <row r="16" spans="1:15" x14ac:dyDescent="0.45">
      <c r="A16">
        <v>13</v>
      </c>
      <c r="B16" s="29">
        <v>1831.16</v>
      </c>
      <c r="F16" s="39">
        <v>12</v>
      </c>
      <c r="G16" s="29">
        <v>1713.0399999999997</v>
      </c>
      <c r="H16" s="29" t="e">
        <v>#DIV/0!</v>
      </c>
      <c r="I16" s="29">
        <v>1713.0399999999997</v>
      </c>
      <c r="J16" s="29">
        <v>1713.0399999999997</v>
      </c>
      <c r="M16" s="10">
        <v>45362</v>
      </c>
      <c r="N16" s="6">
        <f>156*2</f>
        <v>312</v>
      </c>
      <c r="O16" s="6">
        <f t="shared" si="0"/>
        <v>304</v>
      </c>
    </row>
    <row r="17" spans="1:15" x14ac:dyDescent="0.45">
      <c r="A17">
        <v>14</v>
      </c>
      <c r="B17" s="29">
        <v>1874.04</v>
      </c>
      <c r="F17" s="39">
        <v>13</v>
      </c>
      <c r="G17" s="29">
        <v>1831.16</v>
      </c>
      <c r="H17" s="29" t="e">
        <v>#DIV/0!</v>
      </c>
      <c r="I17" s="29">
        <v>1831.16</v>
      </c>
      <c r="J17" s="29">
        <v>1831.16</v>
      </c>
      <c r="M17" s="10">
        <v>45427</v>
      </c>
      <c r="N17" s="6">
        <f>149.5+159.04</f>
        <v>308.53999999999996</v>
      </c>
      <c r="O17" s="6">
        <f t="shared" si="0"/>
        <v>300.53999999999996</v>
      </c>
    </row>
    <row r="18" spans="1:15" x14ac:dyDescent="0.45">
      <c r="A18">
        <v>15</v>
      </c>
      <c r="B18" s="29">
        <v>2178.61</v>
      </c>
      <c r="F18" s="39">
        <v>14</v>
      </c>
      <c r="G18" s="29">
        <v>1874.04</v>
      </c>
      <c r="H18" s="29" t="e">
        <v>#DIV/0!</v>
      </c>
      <c r="I18" s="29">
        <v>1874.04</v>
      </c>
      <c r="J18" s="29">
        <v>1874.04</v>
      </c>
      <c r="M18" s="10">
        <v>45276</v>
      </c>
      <c r="N18" s="6">
        <f>111.5+192</f>
        <v>303.5</v>
      </c>
      <c r="O18" s="6">
        <f t="shared" si="0"/>
        <v>295.5</v>
      </c>
    </row>
    <row r="19" spans="1:15" x14ac:dyDescent="0.45">
      <c r="A19">
        <v>16</v>
      </c>
      <c r="B19" s="29">
        <v>1563.14</v>
      </c>
      <c r="F19" s="39">
        <v>15</v>
      </c>
      <c r="G19" s="29">
        <v>2178.61</v>
      </c>
      <c r="H19" s="29" t="e">
        <v>#DIV/0!</v>
      </c>
      <c r="I19" s="29">
        <v>2178.61</v>
      </c>
      <c r="J19" s="29">
        <v>2178.61</v>
      </c>
      <c r="M19" s="10">
        <v>45272</v>
      </c>
      <c r="N19" s="6">
        <f>150+109.5</f>
        <v>259.5</v>
      </c>
      <c r="O19" s="6">
        <f t="shared" si="0"/>
        <v>251.5</v>
      </c>
    </row>
    <row r="20" spans="1:15" x14ac:dyDescent="0.45">
      <c r="A20">
        <v>17</v>
      </c>
      <c r="B20" s="29">
        <v>2107.88</v>
      </c>
      <c r="F20" s="39">
        <v>16</v>
      </c>
      <c r="G20" s="29">
        <v>1563.14</v>
      </c>
      <c r="H20" s="29" t="e">
        <v>#DIV/0!</v>
      </c>
      <c r="I20" s="29">
        <v>1563.14</v>
      </c>
      <c r="J20" s="29">
        <v>1563.14</v>
      </c>
      <c r="M20" s="10">
        <v>45223</v>
      </c>
      <c r="N20" s="6">
        <v>215.5</v>
      </c>
      <c r="O20" s="6">
        <f t="shared" si="0"/>
        <v>207.5</v>
      </c>
    </row>
    <row r="21" spans="1:15" x14ac:dyDescent="0.45">
      <c r="A21">
        <v>18</v>
      </c>
      <c r="B21" s="29">
        <v>1852.32</v>
      </c>
      <c r="F21" s="39">
        <v>17</v>
      </c>
      <c r="G21" s="29">
        <v>2107.88</v>
      </c>
      <c r="H21" s="29" t="e">
        <v>#DIV/0!</v>
      </c>
      <c r="I21" s="29">
        <v>2107.88</v>
      </c>
      <c r="J21" s="29">
        <v>2107.88</v>
      </c>
      <c r="M21" s="10">
        <v>45383</v>
      </c>
      <c r="N21" s="6">
        <v>215</v>
      </c>
      <c r="O21" s="6">
        <f t="shared" si="0"/>
        <v>207</v>
      </c>
    </row>
    <row r="22" spans="1:15" x14ac:dyDescent="0.45">
      <c r="A22">
        <v>19</v>
      </c>
      <c r="B22" s="29">
        <v>1822.8400000000001</v>
      </c>
      <c r="F22" s="39">
        <v>18</v>
      </c>
      <c r="G22" s="29">
        <v>1852.32</v>
      </c>
      <c r="H22" s="29" t="e">
        <v>#DIV/0!</v>
      </c>
      <c r="I22" s="29">
        <v>1852.32</v>
      </c>
      <c r="J22" s="29">
        <v>1852.32</v>
      </c>
      <c r="M22" s="10">
        <v>45312</v>
      </c>
      <c r="N22" s="6">
        <v>212</v>
      </c>
      <c r="O22" s="6">
        <f t="shared" si="0"/>
        <v>204</v>
      </c>
    </row>
    <row r="23" spans="1:15" x14ac:dyDescent="0.45">
      <c r="A23">
        <v>20</v>
      </c>
      <c r="B23" s="29">
        <v>859.54</v>
      </c>
      <c r="F23" s="39">
        <v>19</v>
      </c>
      <c r="G23" s="29">
        <v>1822.8400000000001</v>
      </c>
      <c r="H23" s="29" t="e">
        <v>#DIV/0!</v>
      </c>
      <c r="I23" s="29">
        <v>1822.8400000000001</v>
      </c>
      <c r="J23" s="29">
        <v>1822.8400000000001</v>
      </c>
      <c r="M23" s="10">
        <v>45434</v>
      </c>
      <c r="N23" s="6">
        <v>207</v>
      </c>
      <c r="O23" s="6">
        <f t="shared" si="0"/>
        <v>199</v>
      </c>
    </row>
    <row r="24" spans="1:15" x14ac:dyDescent="0.45">
      <c r="A24">
        <v>21</v>
      </c>
      <c r="B24" s="29">
        <v>1169.07</v>
      </c>
      <c r="F24" s="39">
        <v>20</v>
      </c>
      <c r="G24" s="29">
        <v>859.54</v>
      </c>
      <c r="H24" s="29" t="e">
        <v>#DIV/0!</v>
      </c>
      <c r="I24" s="29">
        <v>859.54</v>
      </c>
      <c r="J24" s="29">
        <v>859.54</v>
      </c>
      <c r="M24" s="10">
        <v>45193</v>
      </c>
      <c r="N24" s="6">
        <v>206</v>
      </c>
      <c r="O24" s="6">
        <f t="shared" si="0"/>
        <v>198</v>
      </c>
    </row>
    <row r="25" spans="1:15" x14ac:dyDescent="0.45">
      <c r="A25">
        <v>22</v>
      </c>
      <c r="B25" s="29">
        <v>849.34</v>
      </c>
      <c r="F25" s="39">
        <v>21</v>
      </c>
      <c r="G25" s="29">
        <v>1169.07</v>
      </c>
      <c r="H25" s="29" t="e">
        <v>#DIV/0!</v>
      </c>
      <c r="I25" s="29">
        <v>1169.07</v>
      </c>
      <c r="J25" s="29">
        <v>1169.07</v>
      </c>
      <c r="M25" s="10">
        <v>45220</v>
      </c>
      <c r="N25" s="6">
        <v>203</v>
      </c>
      <c r="O25" s="6">
        <f t="shared" si="0"/>
        <v>195</v>
      </c>
    </row>
    <row r="26" spans="1:15" x14ac:dyDescent="0.45">
      <c r="A26">
        <v>23</v>
      </c>
      <c r="B26" s="29">
        <v>973.73</v>
      </c>
      <c r="F26" s="39">
        <v>22</v>
      </c>
      <c r="G26" s="29">
        <v>849.34</v>
      </c>
      <c r="H26" s="29" t="e">
        <v>#DIV/0!</v>
      </c>
      <c r="I26" s="29">
        <v>849.34</v>
      </c>
      <c r="J26" s="29">
        <v>849.34</v>
      </c>
      <c r="M26" s="10">
        <v>45197</v>
      </c>
      <c r="N26" s="6">
        <v>200</v>
      </c>
      <c r="O26" s="6">
        <f t="shared" si="0"/>
        <v>192</v>
      </c>
    </row>
    <row r="27" spans="1:15" x14ac:dyDescent="0.45">
      <c r="A27">
        <v>24</v>
      </c>
      <c r="B27" s="29">
        <v>1311.7325000000001</v>
      </c>
      <c r="F27" s="39">
        <v>23</v>
      </c>
      <c r="G27" s="29">
        <v>973.73</v>
      </c>
      <c r="H27" s="29" t="e">
        <v>#DIV/0!</v>
      </c>
      <c r="I27" s="29">
        <v>973.73</v>
      </c>
      <c r="J27" s="29">
        <v>973.73</v>
      </c>
      <c r="M27" s="10">
        <v>45368</v>
      </c>
      <c r="N27" s="6">
        <v>200</v>
      </c>
      <c r="O27" s="6">
        <f t="shared" si="0"/>
        <v>192</v>
      </c>
    </row>
    <row r="28" spans="1:15" x14ac:dyDescent="0.45">
      <c r="A28">
        <v>25</v>
      </c>
      <c r="B28" s="29">
        <v>685.68000000000006</v>
      </c>
      <c r="F28" s="39">
        <v>24</v>
      </c>
      <c r="G28" s="29">
        <v>1311.7325000000001</v>
      </c>
      <c r="H28" s="29" t="e">
        <v>#DIV/0!</v>
      </c>
      <c r="I28" s="29">
        <v>1311.7325000000001</v>
      </c>
      <c r="J28" s="29">
        <v>1311.7325000000001</v>
      </c>
      <c r="M28" s="10">
        <v>45386</v>
      </c>
      <c r="N28" s="6">
        <v>200</v>
      </c>
      <c r="O28" s="6">
        <f t="shared" si="0"/>
        <v>192</v>
      </c>
    </row>
    <row r="29" spans="1:15" x14ac:dyDescent="0.45">
      <c r="A29">
        <v>26</v>
      </c>
      <c r="B29" s="29">
        <v>637.91999999999996</v>
      </c>
      <c r="F29" s="39">
        <v>25</v>
      </c>
      <c r="G29" s="29">
        <v>685.68000000000006</v>
      </c>
      <c r="H29" s="29" t="e">
        <v>#DIV/0!</v>
      </c>
      <c r="I29" s="29">
        <v>685.68000000000006</v>
      </c>
      <c r="J29" s="29">
        <v>685.68000000000006</v>
      </c>
      <c r="M29" s="10">
        <v>45396</v>
      </c>
      <c r="N29" s="6">
        <v>200</v>
      </c>
      <c r="O29" s="6">
        <f t="shared" si="0"/>
        <v>192</v>
      </c>
    </row>
    <row r="30" spans="1:15" x14ac:dyDescent="0.45">
      <c r="A30">
        <v>27</v>
      </c>
      <c r="B30" s="29">
        <v>1151.6200000000001</v>
      </c>
      <c r="F30" s="39">
        <v>26</v>
      </c>
      <c r="G30" s="29">
        <v>637.91999999999996</v>
      </c>
      <c r="H30" s="29" t="e">
        <v>#DIV/0!</v>
      </c>
      <c r="I30" s="29">
        <v>637.91999999999996</v>
      </c>
      <c r="J30" s="29">
        <v>637.91999999999996</v>
      </c>
      <c r="M30" s="10">
        <v>45406</v>
      </c>
      <c r="N30" s="6">
        <v>196</v>
      </c>
      <c r="O30" s="6">
        <f t="shared" si="0"/>
        <v>188</v>
      </c>
    </row>
    <row r="31" spans="1:15" x14ac:dyDescent="0.45">
      <c r="A31">
        <v>28</v>
      </c>
      <c r="B31" s="29">
        <v>146</v>
      </c>
      <c r="F31" s="39">
        <v>27</v>
      </c>
      <c r="G31" s="29">
        <v>1151.6200000000001</v>
      </c>
      <c r="H31" s="29" t="e">
        <v>#DIV/0!</v>
      </c>
      <c r="I31" s="29">
        <v>1151.6200000000001</v>
      </c>
      <c r="J31" s="29">
        <v>1151.6200000000001</v>
      </c>
      <c r="M31" s="10">
        <v>45199</v>
      </c>
      <c r="N31" s="6">
        <v>195</v>
      </c>
      <c r="O31" s="6">
        <f t="shared" si="0"/>
        <v>187</v>
      </c>
    </row>
    <row r="32" spans="1:15" x14ac:dyDescent="0.45">
      <c r="A32">
        <v>29</v>
      </c>
      <c r="B32" s="29">
        <v>713.16000000000008</v>
      </c>
      <c r="F32" s="39">
        <v>28</v>
      </c>
      <c r="G32" s="29">
        <v>146</v>
      </c>
      <c r="H32" s="29" t="e">
        <v>#DIV/0!</v>
      </c>
      <c r="I32" s="29">
        <v>146</v>
      </c>
      <c r="J32" s="29">
        <v>146</v>
      </c>
      <c r="M32" s="10">
        <v>45229</v>
      </c>
      <c r="N32" s="6">
        <v>194</v>
      </c>
      <c r="O32" s="6">
        <f t="shared" si="0"/>
        <v>186</v>
      </c>
    </row>
    <row r="33" spans="1:15" x14ac:dyDescent="0.45">
      <c r="A33">
        <v>30</v>
      </c>
      <c r="B33" s="29">
        <v>750</v>
      </c>
      <c r="F33" s="39">
        <v>29</v>
      </c>
      <c r="G33" s="29">
        <v>713.16000000000008</v>
      </c>
      <c r="H33" s="29" t="e">
        <v>#DIV/0!</v>
      </c>
      <c r="I33" s="29">
        <v>713.16000000000008</v>
      </c>
      <c r="J33" s="29">
        <v>713.16000000000008</v>
      </c>
      <c r="M33" s="10">
        <v>45169</v>
      </c>
      <c r="N33" s="6">
        <v>190</v>
      </c>
      <c r="O33" s="6">
        <f t="shared" si="0"/>
        <v>182</v>
      </c>
    </row>
    <row r="34" spans="1:15" x14ac:dyDescent="0.45">
      <c r="A34">
        <v>31</v>
      </c>
      <c r="B34" s="29">
        <v>859.82</v>
      </c>
      <c r="F34" s="39">
        <v>30</v>
      </c>
      <c r="G34" s="29">
        <v>750</v>
      </c>
      <c r="H34" s="29" t="e">
        <v>#DIV/0!</v>
      </c>
      <c r="I34" s="29">
        <v>750</v>
      </c>
      <c r="J34" s="29">
        <v>750</v>
      </c>
      <c r="M34" s="10">
        <v>45205</v>
      </c>
      <c r="N34" s="6">
        <v>190</v>
      </c>
      <c r="O34" s="6">
        <f t="shared" ref="O34:O65" si="1">N34-8</f>
        <v>182</v>
      </c>
    </row>
    <row r="35" spans="1:15" x14ac:dyDescent="0.45">
      <c r="A35">
        <v>32</v>
      </c>
      <c r="B35" s="29">
        <v>597.79999999999995</v>
      </c>
      <c r="F35" s="39">
        <v>31</v>
      </c>
      <c r="G35" s="29">
        <v>859.82</v>
      </c>
      <c r="H35" s="29" t="e">
        <v>#DIV/0!</v>
      </c>
      <c r="I35" s="29">
        <v>859.82</v>
      </c>
      <c r="J35" s="29">
        <v>859.82</v>
      </c>
      <c r="M35" s="10">
        <v>45347</v>
      </c>
      <c r="N35" s="6">
        <v>190</v>
      </c>
      <c r="O35" s="6">
        <f t="shared" si="1"/>
        <v>182</v>
      </c>
    </row>
    <row r="36" spans="1:15" x14ac:dyDescent="0.45">
      <c r="A36">
        <v>33</v>
      </c>
      <c r="B36" s="29">
        <v>476.44</v>
      </c>
      <c r="F36" s="39">
        <v>32</v>
      </c>
      <c r="G36" s="29">
        <v>597.79999999999995</v>
      </c>
      <c r="H36" s="29" t="e">
        <v>#DIV/0!</v>
      </c>
      <c r="I36" s="29">
        <v>597.79999999999995</v>
      </c>
      <c r="J36" s="29">
        <v>597.79999999999995</v>
      </c>
      <c r="M36" s="10">
        <v>45289</v>
      </c>
      <c r="N36" s="6">
        <v>189</v>
      </c>
      <c r="O36" s="6">
        <f t="shared" si="1"/>
        <v>181</v>
      </c>
    </row>
    <row r="37" spans="1:15" x14ac:dyDescent="0.45">
      <c r="A37">
        <v>34</v>
      </c>
      <c r="B37" s="29">
        <v>929</v>
      </c>
      <c r="F37" s="39">
        <v>33</v>
      </c>
      <c r="G37" s="29">
        <v>476.44</v>
      </c>
      <c r="H37" s="29" t="e">
        <v>#DIV/0!</v>
      </c>
      <c r="I37" s="29">
        <v>476.44</v>
      </c>
      <c r="J37" s="29">
        <v>476.44</v>
      </c>
      <c r="M37" s="10">
        <v>45403</v>
      </c>
      <c r="N37" s="6">
        <v>186</v>
      </c>
      <c r="O37" s="6">
        <f t="shared" si="1"/>
        <v>178</v>
      </c>
    </row>
    <row r="38" spans="1:15" x14ac:dyDescent="0.45">
      <c r="A38">
        <v>35</v>
      </c>
      <c r="B38" s="29">
        <v>722.68</v>
      </c>
      <c r="F38" s="39">
        <v>34</v>
      </c>
      <c r="G38" s="29">
        <v>929</v>
      </c>
      <c r="H38" s="29" t="e">
        <v>#DIV/0!</v>
      </c>
      <c r="I38" s="29">
        <v>929</v>
      </c>
      <c r="J38" s="29">
        <v>929</v>
      </c>
      <c r="M38" s="10">
        <v>45372</v>
      </c>
      <c r="N38" s="6">
        <v>185</v>
      </c>
      <c r="O38" s="6">
        <f t="shared" si="1"/>
        <v>177</v>
      </c>
    </row>
    <row r="39" spans="1:15" x14ac:dyDescent="0.45">
      <c r="A39">
        <v>36</v>
      </c>
      <c r="B39" s="29">
        <v>945.48</v>
      </c>
      <c r="F39" s="39">
        <v>35</v>
      </c>
      <c r="G39" s="29">
        <v>722.68</v>
      </c>
      <c r="H39" s="29" t="e">
        <v>#DIV/0!</v>
      </c>
      <c r="I39" s="29">
        <v>722.68</v>
      </c>
      <c r="J39" s="29">
        <v>722.68</v>
      </c>
      <c r="M39" s="10">
        <v>45378</v>
      </c>
      <c r="N39" s="6">
        <v>185</v>
      </c>
      <c r="O39" s="6">
        <f t="shared" si="1"/>
        <v>177</v>
      </c>
    </row>
    <row r="40" spans="1:15" x14ac:dyDescent="0.45">
      <c r="A40">
        <v>37</v>
      </c>
      <c r="B40" s="29">
        <v>723.86</v>
      </c>
      <c r="F40" s="39">
        <v>36</v>
      </c>
      <c r="G40" s="29">
        <v>945.48</v>
      </c>
      <c r="H40" s="29" t="e">
        <v>#DIV/0!</v>
      </c>
      <c r="I40" s="29">
        <v>945.48</v>
      </c>
      <c r="J40" s="29">
        <v>945.48</v>
      </c>
      <c r="M40" s="10">
        <v>45139</v>
      </c>
      <c r="N40" s="6">
        <v>183.5</v>
      </c>
      <c r="O40" s="6">
        <f t="shared" si="1"/>
        <v>175.5</v>
      </c>
    </row>
    <row r="41" spans="1:15" x14ac:dyDescent="0.45">
      <c r="A41">
        <v>38</v>
      </c>
      <c r="B41" s="29">
        <v>428</v>
      </c>
      <c r="F41" s="39">
        <v>37</v>
      </c>
      <c r="G41" s="29">
        <v>723.86</v>
      </c>
      <c r="H41" s="29" t="e">
        <v>#DIV/0!</v>
      </c>
      <c r="I41" s="29">
        <v>723.86</v>
      </c>
      <c r="J41" s="29">
        <v>723.86</v>
      </c>
      <c r="M41" s="10">
        <v>45283</v>
      </c>
      <c r="N41" s="6">
        <v>181.5</v>
      </c>
      <c r="O41" s="6">
        <f t="shared" si="1"/>
        <v>173.5</v>
      </c>
    </row>
    <row r="42" spans="1:15" x14ac:dyDescent="0.45">
      <c r="A42">
        <v>39</v>
      </c>
      <c r="B42" s="29">
        <v>659.5</v>
      </c>
      <c r="F42" s="39">
        <v>38</v>
      </c>
      <c r="G42" s="29">
        <v>428</v>
      </c>
      <c r="H42" s="29" t="e">
        <v>#DIV/0!</v>
      </c>
      <c r="I42" s="29">
        <v>428</v>
      </c>
      <c r="J42" s="29">
        <v>428</v>
      </c>
      <c r="M42" s="10">
        <v>45233</v>
      </c>
      <c r="N42" s="6">
        <v>181</v>
      </c>
      <c r="O42" s="6">
        <f t="shared" si="1"/>
        <v>173</v>
      </c>
    </row>
    <row r="43" spans="1:15" x14ac:dyDescent="0.45">
      <c r="A43">
        <v>40</v>
      </c>
      <c r="B43" s="29">
        <v>374.5</v>
      </c>
      <c r="F43" s="39">
        <v>39</v>
      </c>
      <c r="G43" s="29">
        <v>659.5</v>
      </c>
      <c r="H43" s="29" t="e">
        <v>#DIV/0!</v>
      </c>
      <c r="I43" s="29">
        <v>659.5</v>
      </c>
      <c r="J43" s="29">
        <v>659.5</v>
      </c>
      <c r="M43" s="10">
        <v>45164</v>
      </c>
      <c r="N43" s="6">
        <v>180</v>
      </c>
      <c r="O43" s="6">
        <f t="shared" si="1"/>
        <v>172</v>
      </c>
    </row>
    <row r="44" spans="1:15" x14ac:dyDescent="0.45">
      <c r="A44">
        <v>41</v>
      </c>
      <c r="B44" s="29">
        <v>398</v>
      </c>
      <c r="F44" s="39">
        <v>40</v>
      </c>
      <c r="G44" s="29">
        <v>374.5</v>
      </c>
      <c r="H44" s="29" t="e">
        <v>#DIV/0!</v>
      </c>
      <c r="I44" s="29">
        <v>374.5</v>
      </c>
      <c r="J44" s="29">
        <v>374.5</v>
      </c>
      <c r="M44" s="10">
        <v>45317</v>
      </c>
      <c r="N44" s="6">
        <v>180</v>
      </c>
      <c r="O44" s="6">
        <f t="shared" si="1"/>
        <v>172</v>
      </c>
    </row>
    <row r="45" spans="1:15" x14ac:dyDescent="0.45">
      <c r="A45">
        <v>42</v>
      </c>
      <c r="B45" s="29">
        <v>516</v>
      </c>
      <c r="F45" s="39">
        <v>41</v>
      </c>
      <c r="G45" s="29">
        <v>398</v>
      </c>
      <c r="H45" s="29" t="e">
        <v>#DIV/0!</v>
      </c>
      <c r="I45" s="29">
        <v>398</v>
      </c>
      <c r="J45" s="29">
        <v>398</v>
      </c>
      <c r="M45" s="10">
        <v>45342</v>
      </c>
      <c r="N45" s="6">
        <v>180</v>
      </c>
      <c r="O45" s="6">
        <f t="shared" si="1"/>
        <v>172</v>
      </c>
    </row>
    <row r="46" spans="1:15" x14ac:dyDescent="0.45">
      <c r="A46">
        <v>43</v>
      </c>
      <c r="B46" s="29">
        <v>297.5</v>
      </c>
      <c r="F46" s="39">
        <v>42</v>
      </c>
      <c r="G46" s="29">
        <v>516</v>
      </c>
      <c r="H46" s="29" t="e">
        <v>#DIV/0!</v>
      </c>
      <c r="I46" s="29">
        <v>516</v>
      </c>
      <c r="J46" s="29">
        <v>516</v>
      </c>
      <c r="M46" s="10">
        <v>45279</v>
      </c>
      <c r="N46" s="6">
        <v>179</v>
      </c>
      <c r="O46" s="6">
        <f t="shared" si="1"/>
        <v>171</v>
      </c>
    </row>
    <row r="47" spans="1:15" x14ac:dyDescent="0.45">
      <c r="A47">
        <v>44</v>
      </c>
      <c r="B47" s="29">
        <v>604.5</v>
      </c>
      <c r="F47" s="39">
        <v>43</v>
      </c>
      <c r="G47" s="29">
        <v>297.5</v>
      </c>
      <c r="H47" s="29" t="e">
        <v>#DIV/0!</v>
      </c>
      <c r="I47" s="29">
        <v>297.5</v>
      </c>
      <c r="J47" s="29">
        <v>297.5</v>
      </c>
      <c r="M47" s="10">
        <v>45113</v>
      </c>
      <c r="N47" s="6">
        <v>177</v>
      </c>
      <c r="O47" s="6">
        <f t="shared" si="1"/>
        <v>169</v>
      </c>
    </row>
    <row r="48" spans="1:15" x14ac:dyDescent="0.45">
      <c r="A48">
        <v>45</v>
      </c>
      <c r="B48" s="29">
        <v>440.5</v>
      </c>
      <c r="F48" s="39">
        <v>44</v>
      </c>
      <c r="G48" s="29">
        <v>604.5</v>
      </c>
      <c r="H48" s="29" t="e">
        <v>#DIV/0!</v>
      </c>
      <c r="I48" s="29">
        <v>604.5</v>
      </c>
      <c r="J48" s="29">
        <v>604.5</v>
      </c>
      <c r="M48" s="10">
        <v>45398</v>
      </c>
      <c r="N48" s="6">
        <v>176</v>
      </c>
      <c r="O48" s="6">
        <f t="shared" si="1"/>
        <v>168</v>
      </c>
    </row>
    <row r="49" spans="1:15" x14ac:dyDescent="0.45">
      <c r="A49">
        <v>46</v>
      </c>
      <c r="B49" s="29">
        <v>822.88</v>
      </c>
      <c r="F49" s="39">
        <v>45</v>
      </c>
      <c r="G49" s="29">
        <v>440.5</v>
      </c>
      <c r="H49" s="29" t="e">
        <v>#DIV/0!</v>
      </c>
      <c r="I49" s="29">
        <v>440.5</v>
      </c>
      <c r="J49" s="29">
        <v>440.5</v>
      </c>
      <c r="M49" s="10">
        <v>45141</v>
      </c>
      <c r="N49" s="6">
        <v>175</v>
      </c>
      <c r="O49" s="6">
        <f t="shared" si="1"/>
        <v>167</v>
      </c>
    </row>
    <row r="50" spans="1:15" x14ac:dyDescent="0.45">
      <c r="A50">
        <v>47</v>
      </c>
      <c r="B50" s="29">
        <v>1163.1599999999999</v>
      </c>
      <c r="F50" s="39">
        <v>46</v>
      </c>
      <c r="G50" s="29">
        <v>822.88</v>
      </c>
      <c r="H50" s="29" t="e">
        <v>#DIV/0!</v>
      </c>
      <c r="I50" s="29">
        <v>822.88</v>
      </c>
      <c r="J50" s="29">
        <v>822.88</v>
      </c>
      <c r="M50" s="10">
        <v>45214</v>
      </c>
      <c r="N50" s="6">
        <v>175</v>
      </c>
      <c r="O50" s="6">
        <f t="shared" si="1"/>
        <v>167</v>
      </c>
    </row>
    <row r="51" spans="1:15" x14ac:dyDescent="0.45">
      <c r="A51">
        <v>48</v>
      </c>
      <c r="B51" s="29">
        <v>1188.8400000000001</v>
      </c>
      <c r="F51" s="39">
        <v>47</v>
      </c>
      <c r="G51" s="29">
        <v>1163.1599999999999</v>
      </c>
      <c r="H51" s="29" t="e">
        <v>#DIV/0!</v>
      </c>
      <c r="I51" s="29">
        <v>1163.1599999999999</v>
      </c>
      <c r="J51" s="29">
        <v>1163.1599999999999</v>
      </c>
      <c r="M51" s="10">
        <v>45314</v>
      </c>
      <c r="N51" s="6">
        <v>175</v>
      </c>
      <c r="O51" s="6">
        <f t="shared" si="1"/>
        <v>167</v>
      </c>
    </row>
    <row r="52" spans="1:15" x14ac:dyDescent="0.45">
      <c r="A52">
        <v>49</v>
      </c>
      <c r="B52" s="29">
        <v>933.7</v>
      </c>
      <c r="F52" s="39">
        <v>48</v>
      </c>
      <c r="G52" s="29">
        <v>1188.8400000000001</v>
      </c>
      <c r="H52" s="29" t="e">
        <v>#DIV/0!</v>
      </c>
      <c r="I52" s="29">
        <v>1188.8400000000001</v>
      </c>
      <c r="J52" s="29">
        <v>1188.8400000000001</v>
      </c>
      <c r="M52" s="10">
        <v>45376</v>
      </c>
      <c r="N52" s="6">
        <v>175</v>
      </c>
      <c r="O52" s="6">
        <f t="shared" si="1"/>
        <v>167</v>
      </c>
    </row>
    <row r="53" spans="1:15" x14ac:dyDescent="0.45">
      <c r="A53">
        <v>50</v>
      </c>
      <c r="B53" s="29">
        <v>1606.84</v>
      </c>
      <c r="F53" s="39">
        <v>49</v>
      </c>
      <c r="G53" s="29">
        <v>933.7</v>
      </c>
      <c r="H53" s="29" t="e">
        <v>#DIV/0!</v>
      </c>
      <c r="I53" s="29">
        <v>933.7</v>
      </c>
      <c r="J53" s="29">
        <v>933.7</v>
      </c>
      <c r="M53" s="10">
        <v>45308</v>
      </c>
      <c r="N53" s="6">
        <v>172</v>
      </c>
      <c r="O53" s="6">
        <f t="shared" si="1"/>
        <v>164</v>
      </c>
    </row>
    <row r="54" spans="1:15" x14ac:dyDescent="0.45">
      <c r="A54">
        <v>51</v>
      </c>
      <c r="B54" s="29">
        <v>878.82</v>
      </c>
      <c r="F54" s="39">
        <v>50</v>
      </c>
      <c r="G54" s="29">
        <v>1606.84</v>
      </c>
      <c r="H54" s="29" t="e">
        <v>#DIV/0!</v>
      </c>
      <c r="I54" s="29">
        <v>1606.84</v>
      </c>
      <c r="J54" s="29">
        <v>1606.84</v>
      </c>
      <c r="M54" s="10">
        <v>45393</v>
      </c>
      <c r="N54" s="6">
        <v>172</v>
      </c>
      <c r="O54" s="6">
        <f t="shared" si="1"/>
        <v>164</v>
      </c>
    </row>
    <row r="55" spans="1:15" x14ac:dyDescent="0.45">
      <c r="A55">
        <v>52</v>
      </c>
      <c r="B55" s="29">
        <v>1019.66</v>
      </c>
      <c r="F55" s="39">
        <v>51</v>
      </c>
      <c r="G55" s="29">
        <v>878.82</v>
      </c>
      <c r="H55" s="29" t="e">
        <v>#DIV/0!</v>
      </c>
      <c r="I55" s="29">
        <v>878.82</v>
      </c>
      <c r="J55" s="29">
        <v>878.82</v>
      </c>
      <c r="M55" s="10">
        <v>45303</v>
      </c>
      <c r="N55" s="6">
        <v>171.9</v>
      </c>
      <c r="O55" s="6">
        <f t="shared" si="1"/>
        <v>163.9</v>
      </c>
    </row>
    <row r="56" spans="1:15" x14ac:dyDescent="0.45">
      <c r="A56">
        <v>53</v>
      </c>
      <c r="B56" s="29">
        <v>197.22</v>
      </c>
      <c r="F56" s="39">
        <v>52</v>
      </c>
      <c r="G56" s="29">
        <v>1019.66</v>
      </c>
      <c r="H56" s="29" t="e">
        <v>#DIV/0!</v>
      </c>
      <c r="I56" s="29">
        <v>1019.66</v>
      </c>
      <c r="J56" s="29">
        <v>1019.66</v>
      </c>
      <c r="M56" s="10">
        <v>45236</v>
      </c>
      <c r="N56" s="6">
        <v>171</v>
      </c>
      <c r="O56" s="6">
        <f t="shared" si="1"/>
        <v>163</v>
      </c>
    </row>
    <row r="57" spans="1:15" x14ac:dyDescent="0.45">
      <c r="A57" t="s">
        <v>31</v>
      </c>
      <c r="B57" s="29">
        <v>58635.442499999997</v>
      </c>
      <c r="F57" s="39">
        <v>53</v>
      </c>
      <c r="G57" s="29">
        <v>197.22</v>
      </c>
      <c r="H57" s="29" t="e">
        <v>#DIV/0!</v>
      </c>
      <c r="I57" s="29">
        <v>197.22</v>
      </c>
      <c r="J57" s="29">
        <v>197.22</v>
      </c>
      <c r="M57" s="10">
        <v>45178</v>
      </c>
      <c r="N57" s="6">
        <v>170.5</v>
      </c>
      <c r="O57" s="6">
        <f t="shared" si="1"/>
        <v>162.5</v>
      </c>
    </row>
    <row r="58" spans="1:15" x14ac:dyDescent="0.45">
      <c r="B58"/>
      <c r="F58" s="39" t="s">
        <v>31</v>
      </c>
      <c r="G58" s="29">
        <v>58635.442499999997</v>
      </c>
      <c r="H58" s="29" t="e">
        <v>#DIV/0!</v>
      </c>
      <c r="I58" s="29">
        <v>58635.442499999997</v>
      </c>
      <c r="J58" s="29">
        <v>58635.442499999997</v>
      </c>
      <c r="M58" s="10">
        <v>45172</v>
      </c>
      <c r="N58" s="6">
        <v>170</v>
      </c>
      <c r="O58" s="6">
        <f t="shared" si="1"/>
        <v>162</v>
      </c>
    </row>
    <row r="59" spans="1:15" x14ac:dyDescent="0.45">
      <c r="B59"/>
      <c r="F59" s="39" t="s">
        <v>31</v>
      </c>
      <c r="G59" s="29">
        <v>2171.6830555555553</v>
      </c>
      <c r="H59" s="29">
        <v>7852.9213638823585</v>
      </c>
      <c r="I59" s="29">
        <v>58635.442499999997</v>
      </c>
      <c r="J59" s="29">
        <v>146</v>
      </c>
      <c r="M59" s="10">
        <v>45268</v>
      </c>
      <c r="N59" s="6">
        <v>168</v>
      </c>
      <c r="O59" s="6">
        <f t="shared" si="1"/>
        <v>160</v>
      </c>
    </row>
    <row r="60" spans="1:15" x14ac:dyDescent="0.45">
      <c r="B60"/>
      <c r="M60" s="10">
        <v>45072</v>
      </c>
      <c r="N60" s="6">
        <v>166.5</v>
      </c>
      <c r="O60" s="6">
        <f t="shared" si="1"/>
        <v>158.5</v>
      </c>
    </row>
    <row r="61" spans="1:15" x14ac:dyDescent="0.45">
      <c r="B61"/>
      <c r="M61" s="10">
        <v>45191</v>
      </c>
      <c r="N61" s="6">
        <v>166</v>
      </c>
      <c r="O61" s="6">
        <f t="shared" si="1"/>
        <v>158</v>
      </c>
    </row>
    <row r="62" spans="1:15" x14ac:dyDescent="0.45">
      <c r="B62"/>
      <c r="M62" s="10">
        <v>45069</v>
      </c>
      <c r="N62" s="6">
        <v>165.2</v>
      </c>
      <c r="O62" s="6">
        <f t="shared" si="1"/>
        <v>157.19999999999999</v>
      </c>
    </row>
    <row r="63" spans="1:15" x14ac:dyDescent="0.45">
      <c r="B63"/>
      <c r="M63" s="10">
        <v>45338</v>
      </c>
      <c r="N63" s="6">
        <v>165</v>
      </c>
      <c r="O63" s="6">
        <f t="shared" si="1"/>
        <v>157</v>
      </c>
    </row>
    <row r="64" spans="1:15" x14ac:dyDescent="0.45">
      <c r="B64"/>
      <c r="M64" s="10">
        <v>45351</v>
      </c>
      <c r="N64" s="6">
        <v>165</v>
      </c>
      <c r="O64" s="6">
        <f t="shared" si="1"/>
        <v>157</v>
      </c>
    </row>
    <row r="65" spans="2:15" x14ac:dyDescent="0.45">
      <c r="B65"/>
      <c r="M65" s="10">
        <v>45381</v>
      </c>
      <c r="N65" s="6">
        <v>165</v>
      </c>
      <c r="O65" s="6">
        <f t="shared" si="1"/>
        <v>157</v>
      </c>
    </row>
    <row r="66" spans="2:15" x14ac:dyDescent="0.45">
      <c r="B66"/>
      <c r="M66" s="10">
        <v>45400</v>
      </c>
      <c r="N66" s="6">
        <v>165</v>
      </c>
      <c r="O66" s="6">
        <f t="shared" ref="O66:O97" si="2">N66-8</f>
        <v>157</v>
      </c>
    </row>
    <row r="67" spans="2:15" x14ac:dyDescent="0.45">
      <c r="B67"/>
      <c r="M67" s="10">
        <v>45331</v>
      </c>
      <c r="N67" s="6">
        <v>164</v>
      </c>
      <c r="O67" s="6">
        <f t="shared" si="2"/>
        <v>156</v>
      </c>
    </row>
    <row r="68" spans="2:15" x14ac:dyDescent="0.45">
      <c r="B68"/>
      <c r="M68" s="10">
        <v>45180</v>
      </c>
      <c r="N68" s="6">
        <v>163</v>
      </c>
      <c r="O68" s="6">
        <f t="shared" si="2"/>
        <v>155</v>
      </c>
    </row>
    <row r="69" spans="2:15" x14ac:dyDescent="0.45">
      <c r="B69"/>
      <c r="M69" s="10">
        <v>45157</v>
      </c>
      <c r="N69" s="6">
        <v>162.5</v>
      </c>
      <c r="O69" s="6">
        <f t="shared" si="2"/>
        <v>154.5</v>
      </c>
    </row>
    <row r="70" spans="2:15" x14ac:dyDescent="0.45">
      <c r="B70"/>
      <c r="M70" s="10">
        <v>45461</v>
      </c>
      <c r="N70" s="6">
        <v>161</v>
      </c>
      <c r="O70" s="6">
        <f t="shared" si="2"/>
        <v>153</v>
      </c>
    </row>
    <row r="71" spans="2:15" x14ac:dyDescent="0.45">
      <c r="B71"/>
      <c r="E71" s="29"/>
      <c r="M71" s="10">
        <v>45085</v>
      </c>
      <c r="N71" s="6">
        <v>160.80000000000001</v>
      </c>
      <c r="O71" s="6">
        <f t="shared" si="2"/>
        <v>152.80000000000001</v>
      </c>
    </row>
    <row r="72" spans="2:15" x14ac:dyDescent="0.45">
      <c r="B72"/>
      <c r="M72" s="10">
        <v>45252</v>
      </c>
      <c r="N72" s="6">
        <v>160</v>
      </c>
      <c r="O72" s="6">
        <f t="shared" si="2"/>
        <v>152</v>
      </c>
    </row>
    <row r="73" spans="2:15" x14ac:dyDescent="0.45">
      <c r="B73"/>
      <c r="M73" s="10">
        <v>45329</v>
      </c>
      <c r="N73" s="6">
        <v>160</v>
      </c>
      <c r="O73" s="6">
        <f t="shared" si="2"/>
        <v>152</v>
      </c>
    </row>
    <row r="74" spans="2:15" x14ac:dyDescent="0.45">
      <c r="B74"/>
      <c r="M74" s="10">
        <v>45365</v>
      </c>
      <c r="N74" s="6">
        <v>158</v>
      </c>
      <c r="O74" s="6">
        <f t="shared" si="2"/>
        <v>150</v>
      </c>
    </row>
    <row r="75" spans="2:15" x14ac:dyDescent="0.45">
      <c r="B75"/>
      <c r="M75" s="10">
        <v>45256</v>
      </c>
      <c r="N75" s="6">
        <v>157</v>
      </c>
      <c r="O75" s="6">
        <f t="shared" si="2"/>
        <v>149</v>
      </c>
    </row>
    <row r="76" spans="2:15" x14ac:dyDescent="0.45">
      <c r="B76"/>
      <c r="M76" s="10">
        <v>45336</v>
      </c>
      <c r="N76" s="6">
        <v>156</v>
      </c>
      <c r="O76" s="6">
        <f t="shared" si="2"/>
        <v>148</v>
      </c>
    </row>
    <row r="77" spans="2:15" x14ac:dyDescent="0.45">
      <c r="B77"/>
      <c r="M77" s="10">
        <v>45349</v>
      </c>
      <c r="N77" s="6">
        <v>156</v>
      </c>
      <c r="O77" s="6">
        <f t="shared" si="2"/>
        <v>148</v>
      </c>
    </row>
    <row r="78" spans="2:15" x14ac:dyDescent="0.45">
      <c r="B78"/>
      <c r="M78" s="10">
        <v>45357</v>
      </c>
      <c r="N78" s="6">
        <v>156</v>
      </c>
      <c r="O78" s="6">
        <f t="shared" si="2"/>
        <v>148</v>
      </c>
    </row>
    <row r="79" spans="2:15" x14ac:dyDescent="0.45">
      <c r="B79"/>
      <c r="M79" s="10">
        <v>45212</v>
      </c>
      <c r="N79" s="6">
        <v>155.5</v>
      </c>
      <c r="O79" s="6">
        <f t="shared" si="2"/>
        <v>147.5</v>
      </c>
    </row>
    <row r="80" spans="2:15" x14ac:dyDescent="0.45">
      <c r="B80"/>
      <c r="M80" s="10">
        <v>45321</v>
      </c>
      <c r="N80" s="6">
        <v>155</v>
      </c>
      <c r="O80" s="6">
        <f t="shared" si="2"/>
        <v>147</v>
      </c>
    </row>
    <row r="81" spans="2:15" x14ac:dyDescent="0.45">
      <c r="B81"/>
      <c r="M81" s="10">
        <v>45334</v>
      </c>
      <c r="N81" s="6">
        <v>155</v>
      </c>
      <c r="O81" s="6">
        <f t="shared" si="2"/>
        <v>147</v>
      </c>
    </row>
    <row r="82" spans="2:15" x14ac:dyDescent="0.45">
      <c r="B82"/>
      <c r="M82" s="10">
        <v>45120</v>
      </c>
      <c r="N82" s="6">
        <v>154</v>
      </c>
      <c r="O82" s="6">
        <f t="shared" si="2"/>
        <v>146</v>
      </c>
    </row>
    <row r="83" spans="2:15" x14ac:dyDescent="0.45">
      <c r="B83"/>
      <c r="M83" s="10">
        <v>45097</v>
      </c>
      <c r="N83" s="6">
        <v>153.5</v>
      </c>
      <c r="O83" s="6">
        <f t="shared" si="2"/>
        <v>145.5</v>
      </c>
    </row>
    <row r="84" spans="2:15" x14ac:dyDescent="0.45">
      <c r="M84" s="10">
        <v>45231</v>
      </c>
      <c r="N84" s="6">
        <v>153.5</v>
      </c>
      <c r="O84" s="6">
        <f t="shared" si="2"/>
        <v>145.5</v>
      </c>
    </row>
    <row r="85" spans="2:15" x14ac:dyDescent="0.45">
      <c r="M85" s="10">
        <v>45323</v>
      </c>
      <c r="N85" s="6">
        <v>153</v>
      </c>
      <c r="O85" s="6">
        <f t="shared" si="2"/>
        <v>145</v>
      </c>
    </row>
    <row r="86" spans="2:15" x14ac:dyDescent="0.45">
      <c r="M86" s="10">
        <v>45240</v>
      </c>
      <c r="N86" s="6">
        <v>152</v>
      </c>
      <c r="O86" s="6">
        <f t="shared" si="2"/>
        <v>144</v>
      </c>
    </row>
    <row r="87" spans="2:15" x14ac:dyDescent="0.45">
      <c r="M87" s="10">
        <v>45319</v>
      </c>
      <c r="N87" s="6">
        <v>151.5</v>
      </c>
      <c r="O87" s="6">
        <f t="shared" si="2"/>
        <v>143.5</v>
      </c>
    </row>
    <row r="88" spans="2:15" x14ac:dyDescent="0.45">
      <c r="M88" s="10">
        <v>45109</v>
      </c>
      <c r="N88" s="6">
        <v>151</v>
      </c>
      <c r="O88" s="6">
        <f t="shared" si="2"/>
        <v>143</v>
      </c>
    </row>
    <row r="89" spans="2:15" x14ac:dyDescent="0.45">
      <c r="M89" s="10">
        <v>45146</v>
      </c>
      <c r="N89" s="6">
        <v>151</v>
      </c>
      <c r="O89" s="6">
        <f t="shared" si="2"/>
        <v>143</v>
      </c>
    </row>
    <row r="90" spans="2:15" x14ac:dyDescent="0.45">
      <c r="M90" s="10">
        <v>45293</v>
      </c>
      <c r="N90" s="6">
        <v>151</v>
      </c>
      <c r="O90" s="6">
        <f t="shared" si="2"/>
        <v>143</v>
      </c>
    </row>
    <row r="91" spans="2:15" x14ac:dyDescent="0.45">
      <c r="M91" s="10">
        <v>45162</v>
      </c>
      <c r="N91" s="6">
        <v>150</v>
      </c>
      <c r="O91" s="6">
        <f t="shared" si="2"/>
        <v>142</v>
      </c>
    </row>
    <row r="92" spans="2:15" x14ac:dyDescent="0.45">
      <c r="M92" s="10">
        <v>45344</v>
      </c>
      <c r="N92" s="6">
        <v>150</v>
      </c>
      <c r="O92" s="6">
        <f t="shared" si="2"/>
        <v>142</v>
      </c>
    </row>
    <row r="93" spans="2:15" x14ac:dyDescent="0.45">
      <c r="M93" s="10">
        <v>45131</v>
      </c>
      <c r="N93" s="6">
        <v>149.5</v>
      </c>
      <c r="O93" s="6">
        <f t="shared" si="2"/>
        <v>141.5</v>
      </c>
    </row>
    <row r="94" spans="2:15" x14ac:dyDescent="0.45">
      <c r="M94" s="10">
        <v>45260</v>
      </c>
      <c r="N94" s="6">
        <v>149</v>
      </c>
      <c r="O94" s="6">
        <f t="shared" si="2"/>
        <v>141</v>
      </c>
    </row>
    <row r="95" spans="2:15" x14ac:dyDescent="0.45">
      <c r="M95" s="10">
        <v>45153</v>
      </c>
      <c r="N95" s="6">
        <v>148.5</v>
      </c>
      <c r="O95" s="6">
        <f t="shared" si="2"/>
        <v>140.5</v>
      </c>
    </row>
    <row r="96" spans="2:15" x14ac:dyDescent="0.45">
      <c r="M96" s="10">
        <v>45103</v>
      </c>
      <c r="N96" s="6">
        <v>148</v>
      </c>
      <c r="O96" s="6">
        <f t="shared" si="2"/>
        <v>140</v>
      </c>
    </row>
    <row r="97" spans="13:15" x14ac:dyDescent="0.45">
      <c r="M97" s="10">
        <v>45123</v>
      </c>
      <c r="N97" s="6">
        <v>146.5</v>
      </c>
      <c r="O97" s="6">
        <f t="shared" si="2"/>
        <v>138.5</v>
      </c>
    </row>
    <row r="98" spans="13:15" x14ac:dyDescent="0.45">
      <c r="M98" s="10">
        <v>45210</v>
      </c>
      <c r="N98" s="6">
        <v>146.5</v>
      </c>
      <c r="O98" s="6">
        <f t="shared" ref="O98:O129" si="3">N98-8</f>
        <v>138.5</v>
      </c>
    </row>
    <row r="99" spans="13:15" x14ac:dyDescent="0.45">
      <c r="M99" s="10">
        <v>45182</v>
      </c>
      <c r="N99" s="6">
        <v>145.5</v>
      </c>
      <c r="O99" s="6">
        <f t="shared" si="3"/>
        <v>137.5</v>
      </c>
    </row>
    <row r="100" spans="13:15" x14ac:dyDescent="0.45">
      <c r="M100" s="10">
        <v>45340</v>
      </c>
      <c r="N100" s="6">
        <v>145</v>
      </c>
      <c r="O100" s="6">
        <f t="shared" si="3"/>
        <v>137</v>
      </c>
    </row>
    <row r="101" spans="13:15" x14ac:dyDescent="0.45">
      <c r="M101" s="10">
        <v>45325</v>
      </c>
      <c r="N101" s="6">
        <v>144.5</v>
      </c>
      <c r="O101" s="6">
        <f t="shared" si="3"/>
        <v>136.5</v>
      </c>
    </row>
    <row r="102" spans="13:15" x14ac:dyDescent="0.45">
      <c r="M102" s="10">
        <v>45187</v>
      </c>
      <c r="N102" s="6">
        <v>143</v>
      </c>
      <c r="O102" s="6">
        <f t="shared" si="3"/>
        <v>135</v>
      </c>
    </row>
    <row r="103" spans="13:15" x14ac:dyDescent="0.45">
      <c r="M103" s="10">
        <v>45189</v>
      </c>
      <c r="N103" s="6">
        <v>143</v>
      </c>
      <c r="O103" s="6">
        <f t="shared" si="3"/>
        <v>135</v>
      </c>
    </row>
    <row r="104" spans="13:15" x14ac:dyDescent="0.45">
      <c r="M104" s="10">
        <v>45262</v>
      </c>
      <c r="N104" s="6">
        <v>142.5</v>
      </c>
      <c r="O104" s="6">
        <f t="shared" si="3"/>
        <v>134.5</v>
      </c>
    </row>
    <row r="105" spans="13:15" x14ac:dyDescent="0.45">
      <c r="M105" s="10">
        <v>45089</v>
      </c>
      <c r="N105" s="6">
        <v>141.5</v>
      </c>
      <c r="O105" s="6">
        <f t="shared" si="3"/>
        <v>133.5</v>
      </c>
    </row>
    <row r="106" spans="13:15" x14ac:dyDescent="0.45">
      <c r="M106" s="10">
        <v>45238</v>
      </c>
      <c r="N106" s="6">
        <v>141.5</v>
      </c>
      <c r="O106" s="6">
        <f t="shared" si="3"/>
        <v>133.5</v>
      </c>
    </row>
    <row r="107" spans="13:15" x14ac:dyDescent="0.45">
      <c r="M107" s="10">
        <v>45050</v>
      </c>
      <c r="N107" s="6">
        <v>141.30000000000001</v>
      </c>
      <c r="O107" s="6">
        <f t="shared" si="3"/>
        <v>133.30000000000001</v>
      </c>
    </row>
    <row r="108" spans="13:15" x14ac:dyDescent="0.45">
      <c r="M108" s="10">
        <v>45127</v>
      </c>
      <c r="N108" s="6">
        <v>141</v>
      </c>
      <c r="O108" s="6">
        <f t="shared" si="3"/>
        <v>133</v>
      </c>
    </row>
    <row r="109" spans="13:15" x14ac:dyDescent="0.45">
      <c r="M109" s="10">
        <v>45134</v>
      </c>
      <c r="N109" s="6">
        <v>140</v>
      </c>
      <c r="O109" s="6">
        <f t="shared" si="3"/>
        <v>132</v>
      </c>
    </row>
    <row r="110" spans="13:15" x14ac:dyDescent="0.45">
      <c r="M110" s="10">
        <v>45058</v>
      </c>
      <c r="N110" s="6">
        <v>136.4</v>
      </c>
      <c r="O110" s="6">
        <f t="shared" si="3"/>
        <v>128.4</v>
      </c>
    </row>
    <row r="111" spans="13:15" x14ac:dyDescent="0.45">
      <c r="M111" s="10">
        <v>45092</v>
      </c>
      <c r="N111" s="6">
        <v>134.5</v>
      </c>
      <c r="O111" s="6">
        <f t="shared" si="3"/>
        <v>126.5</v>
      </c>
    </row>
    <row r="112" spans="13:15" x14ac:dyDescent="0.45">
      <c r="M112" s="10">
        <v>45149</v>
      </c>
      <c r="N112" s="6">
        <v>130.5</v>
      </c>
      <c r="O112" s="6">
        <f t="shared" si="3"/>
        <v>122.5</v>
      </c>
    </row>
    <row r="113" spans="13:15" x14ac:dyDescent="0.45">
      <c r="M113" s="10">
        <v>45077</v>
      </c>
      <c r="N113" s="6">
        <v>127.6</v>
      </c>
      <c r="O113" s="6">
        <f t="shared" si="3"/>
        <v>119.6</v>
      </c>
    </row>
    <row r="114" spans="13:15" x14ac:dyDescent="0.45">
      <c r="M114" s="10">
        <v>45445</v>
      </c>
      <c r="N114" s="6">
        <v>127.52</v>
      </c>
      <c r="O114" s="6">
        <f t="shared" si="3"/>
        <v>119.52</v>
      </c>
    </row>
    <row r="115" spans="13:15" x14ac:dyDescent="0.45">
      <c r="M115" s="10">
        <v>45203</v>
      </c>
      <c r="N115" s="6">
        <v>127</v>
      </c>
      <c r="O115" s="6">
        <f t="shared" si="3"/>
        <v>119</v>
      </c>
    </row>
    <row r="116" spans="13:15" x14ac:dyDescent="0.45">
      <c r="M116" s="10">
        <v>45159</v>
      </c>
      <c r="N116" s="6">
        <v>124</v>
      </c>
      <c r="O116" s="6">
        <f t="shared" si="3"/>
        <v>116</v>
      </c>
    </row>
    <row r="117" spans="13:15" x14ac:dyDescent="0.45">
      <c r="M117" s="10">
        <v>45208</v>
      </c>
      <c r="N117" s="6">
        <v>120</v>
      </c>
      <c r="O117" s="6">
        <f t="shared" si="3"/>
        <v>112</v>
      </c>
    </row>
    <row r="118" spans="13:15" x14ac:dyDescent="0.45">
      <c r="M118" s="10">
        <v>45305</v>
      </c>
      <c r="N118" s="6">
        <v>120</v>
      </c>
      <c r="O118" s="6">
        <f t="shared" si="3"/>
        <v>112</v>
      </c>
    </row>
    <row r="119" spans="13:15" x14ac:dyDescent="0.45">
      <c r="M119" s="10">
        <v>45264</v>
      </c>
      <c r="N119" s="6">
        <v>119.5</v>
      </c>
      <c r="O119" s="6">
        <f t="shared" si="3"/>
        <v>111.5</v>
      </c>
    </row>
    <row r="120" spans="13:15" x14ac:dyDescent="0.45">
      <c r="M120" s="10">
        <v>45176</v>
      </c>
      <c r="N120" s="6">
        <v>113.5</v>
      </c>
      <c r="O120" s="6">
        <f t="shared" si="3"/>
        <v>105.5</v>
      </c>
    </row>
    <row r="121" spans="13:15" x14ac:dyDescent="0.45">
      <c r="M121" s="10">
        <v>45184</v>
      </c>
      <c r="N121" s="6">
        <v>109.5</v>
      </c>
      <c r="O121" s="6">
        <f t="shared" si="3"/>
        <v>101.5</v>
      </c>
    </row>
    <row r="122" spans="13:15" x14ac:dyDescent="0.45">
      <c r="M122" s="10">
        <v>45495</v>
      </c>
      <c r="N122" s="6">
        <v>108.6</v>
      </c>
      <c r="O122" s="6">
        <f t="shared" si="3"/>
        <v>100.6</v>
      </c>
    </row>
    <row r="123" spans="13:15" x14ac:dyDescent="0.45">
      <c r="M123" s="10">
        <v>45228</v>
      </c>
      <c r="N123" s="6">
        <v>108</v>
      </c>
      <c r="O123" s="6">
        <f t="shared" si="3"/>
        <v>100</v>
      </c>
    </row>
    <row r="124" spans="13:15" x14ac:dyDescent="0.45">
      <c r="M124" s="10">
        <v>45258</v>
      </c>
      <c r="N124" s="6">
        <v>107.5</v>
      </c>
      <c r="O124" s="6">
        <f t="shared" si="3"/>
        <v>99.5</v>
      </c>
    </row>
    <row r="125" spans="13:15" x14ac:dyDescent="0.45">
      <c r="M125" s="10">
        <v>45266</v>
      </c>
      <c r="N125" s="6">
        <v>106</v>
      </c>
      <c r="O125" s="6">
        <f t="shared" si="3"/>
        <v>98</v>
      </c>
    </row>
    <row r="126" spans="13:15" x14ac:dyDescent="0.45">
      <c r="M126" s="10">
        <v>45174</v>
      </c>
      <c r="N126" s="6">
        <v>105.5</v>
      </c>
      <c r="O126" s="6">
        <f t="shared" si="3"/>
        <v>97.5</v>
      </c>
    </row>
    <row r="127" spans="13:15" x14ac:dyDescent="0.45">
      <c r="M127" s="10">
        <v>45066</v>
      </c>
      <c r="N127" s="6">
        <v>104.1</v>
      </c>
      <c r="O127" s="6">
        <f t="shared" si="3"/>
        <v>96.1</v>
      </c>
    </row>
    <row r="128" spans="13:15" x14ac:dyDescent="0.45">
      <c r="M128" s="10">
        <v>45218</v>
      </c>
      <c r="N128" s="6">
        <v>104</v>
      </c>
      <c r="O128" s="6">
        <f t="shared" si="3"/>
        <v>96</v>
      </c>
    </row>
    <row r="129" spans="13:15" x14ac:dyDescent="0.45">
      <c r="M129" s="10">
        <v>45327</v>
      </c>
      <c r="N129" s="6">
        <v>103.5</v>
      </c>
      <c r="O129" s="6">
        <f t="shared" si="3"/>
        <v>95.5</v>
      </c>
    </row>
    <row r="130" spans="13:15" x14ac:dyDescent="0.45">
      <c r="M130" s="10">
        <v>45225</v>
      </c>
      <c r="N130" s="6">
        <v>98</v>
      </c>
      <c r="O130" s="6">
        <f t="shared" ref="O130:O139" si="4">N130-8</f>
        <v>90</v>
      </c>
    </row>
    <row r="131" spans="13:15" x14ac:dyDescent="0.45">
      <c r="M131" s="10">
        <v>45043</v>
      </c>
      <c r="N131" s="6">
        <v>97.1</v>
      </c>
      <c r="O131" s="6">
        <f t="shared" si="4"/>
        <v>89.1</v>
      </c>
    </row>
    <row r="132" spans="13:15" x14ac:dyDescent="0.45">
      <c r="M132" s="10">
        <v>45195</v>
      </c>
      <c r="N132" s="6">
        <v>90.5</v>
      </c>
      <c r="O132" s="6">
        <f t="shared" si="4"/>
        <v>82.5</v>
      </c>
    </row>
    <row r="133" spans="13:15" x14ac:dyDescent="0.45">
      <c r="M133" s="10">
        <v>45201</v>
      </c>
      <c r="N133" s="6">
        <v>81.5</v>
      </c>
      <c r="O133" s="6">
        <f t="shared" si="4"/>
        <v>73.5</v>
      </c>
    </row>
    <row r="134" spans="13:15" x14ac:dyDescent="0.45">
      <c r="M134" s="10">
        <v>45061</v>
      </c>
      <c r="N134" s="6">
        <v>79.5</v>
      </c>
      <c r="O134" s="6">
        <f t="shared" si="4"/>
        <v>71.5</v>
      </c>
    </row>
    <row r="135" spans="13:15" x14ac:dyDescent="0.45">
      <c r="M135" s="10">
        <v>45166</v>
      </c>
      <c r="N135" s="6">
        <v>75</v>
      </c>
      <c r="O135" s="6">
        <f t="shared" si="4"/>
        <v>67</v>
      </c>
    </row>
    <row r="136" spans="13:15" x14ac:dyDescent="0.45">
      <c r="M136" s="10">
        <v>45242</v>
      </c>
      <c r="N136" s="6">
        <v>75</v>
      </c>
      <c r="O136" s="6">
        <f t="shared" si="4"/>
        <v>67</v>
      </c>
    </row>
    <row r="137" spans="13:15" x14ac:dyDescent="0.45">
      <c r="M137" s="10">
        <v>45052</v>
      </c>
      <c r="N137" s="6">
        <v>70.599999999999994</v>
      </c>
      <c r="O137" s="6">
        <f t="shared" si="4"/>
        <v>62.599999999999994</v>
      </c>
    </row>
    <row r="138" spans="13:15" x14ac:dyDescent="0.45">
      <c r="M138" s="10">
        <v>45216</v>
      </c>
      <c r="N138" s="6">
        <v>66</v>
      </c>
      <c r="O138" s="6">
        <f t="shared" si="4"/>
        <v>58</v>
      </c>
    </row>
    <row r="139" spans="13:15" x14ac:dyDescent="0.45">
      <c r="M139" s="10">
        <v>45040</v>
      </c>
      <c r="N139" s="6">
        <v>59.6</v>
      </c>
      <c r="O139" s="6">
        <f t="shared" si="4"/>
        <v>51.6</v>
      </c>
    </row>
  </sheetData>
  <autoFilter ref="M1:O1" xr:uid="{2AAE0797-E805-4A96-AC4A-E28A191268B0}">
    <sortState xmlns:xlrd2="http://schemas.microsoft.com/office/spreadsheetml/2017/richdata2" ref="M2:O139">
      <sortCondition descending="1" ref="O1"/>
    </sortState>
  </autoFilter>
  <conditionalFormatting sqref="N62:N65 N1:N50 N52:N59 N67:N86 N88:N1048576">
    <cfRule type="top10" dxfId="11" priority="2" rank="1"/>
  </conditionalFormatting>
  <conditionalFormatting sqref="O2:O139">
    <cfRule type="top10" dxfId="10" priority="4" rank="1"/>
  </conditionalFormatting>
  <conditionalFormatting sqref="O140:O1048576 O1">
    <cfRule type="top10" dxfId="9" priority="1" bottom="1" rank="1"/>
    <cfRule type="top10" dxfId="8" priority="3" rank="3"/>
  </conditionalFormatting>
  <pageMargins left="0.7" right="0.7" top="0.75" bottom="0.75" header="0.3" footer="0.3"/>
  <pageSetup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92E-8386-4881-ADC4-3028BCE98F3F}">
  <dimension ref="A1:A1800"/>
  <sheetViews>
    <sheetView workbookViewId="0">
      <selection activeCell="J30" sqref="J30"/>
    </sheetView>
  </sheetViews>
  <sheetFormatPr defaultRowHeight="14.25" x14ac:dyDescent="0.45"/>
  <cols>
    <col min="1" max="1" width="13.73046875" style="1" bestFit="1" customWidth="1"/>
  </cols>
  <sheetData>
    <row r="1" spans="1:1" x14ac:dyDescent="0.45">
      <c r="A1" s="1" t="s">
        <v>57</v>
      </c>
    </row>
    <row r="2" spans="1:1" x14ac:dyDescent="0.45">
      <c r="A2" s="1">
        <v>45017</v>
      </c>
    </row>
    <row r="3" spans="1:1" x14ac:dyDescent="0.45">
      <c r="A3" s="1">
        <v>45018</v>
      </c>
    </row>
    <row r="4" spans="1:1" x14ac:dyDescent="0.45">
      <c r="A4" s="1">
        <v>45019</v>
      </c>
    </row>
    <row r="5" spans="1:1" x14ac:dyDescent="0.45">
      <c r="A5" s="1">
        <v>45020</v>
      </c>
    </row>
    <row r="6" spans="1:1" x14ac:dyDescent="0.45">
      <c r="A6" s="1">
        <v>45021</v>
      </c>
    </row>
    <row r="7" spans="1:1" x14ac:dyDescent="0.45">
      <c r="A7" s="1">
        <v>45022</v>
      </c>
    </row>
    <row r="8" spans="1:1" x14ac:dyDescent="0.45">
      <c r="A8" s="1">
        <v>45023</v>
      </c>
    </row>
    <row r="9" spans="1:1" x14ac:dyDescent="0.45">
      <c r="A9" s="1">
        <v>45024</v>
      </c>
    </row>
    <row r="10" spans="1:1" x14ac:dyDescent="0.45">
      <c r="A10" s="1">
        <v>45025</v>
      </c>
    </row>
    <row r="11" spans="1:1" x14ac:dyDescent="0.45">
      <c r="A11" s="1">
        <v>45026</v>
      </c>
    </row>
    <row r="12" spans="1:1" x14ac:dyDescent="0.45">
      <c r="A12" s="1">
        <v>45027</v>
      </c>
    </row>
    <row r="13" spans="1:1" x14ac:dyDescent="0.45">
      <c r="A13" s="1">
        <v>45028</v>
      </c>
    </row>
    <row r="14" spans="1:1" x14ac:dyDescent="0.45">
      <c r="A14" s="1">
        <v>45029</v>
      </c>
    </row>
    <row r="15" spans="1:1" x14ac:dyDescent="0.45">
      <c r="A15" s="1">
        <v>45030</v>
      </c>
    </row>
    <row r="16" spans="1:1" x14ac:dyDescent="0.45">
      <c r="A16" s="1">
        <v>45031</v>
      </c>
    </row>
    <row r="17" spans="1:1" x14ac:dyDescent="0.45">
      <c r="A17" s="1">
        <v>45032</v>
      </c>
    </row>
    <row r="18" spans="1:1" x14ac:dyDescent="0.45">
      <c r="A18" s="1">
        <v>45033</v>
      </c>
    </row>
    <row r="19" spans="1:1" x14ac:dyDescent="0.45">
      <c r="A19" s="1">
        <v>45034</v>
      </c>
    </row>
    <row r="20" spans="1:1" x14ac:dyDescent="0.45">
      <c r="A20" s="1">
        <v>45035</v>
      </c>
    </row>
    <row r="21" spans="1:1" x14ac:dyDescent="0.45">
      <c r="A21" s="1">
        <v>45036</v>
      </c>
    </row>
    <row r="22" spans="1:1" x14ac:dyDescent="0.45">
      <c r="A22" s="1">
        <v>45037</v>
      </c>
    </row>
    <row r="23" spans="1:1" x14ac:dyDescent="0.45">
      <c r="A23" s="1">
        <v>45038</v>
      </c>
    </row>
    <row r="24" spans="1:1" x14ac:dyDescent="0.45">
      <c r="A24" s="1">
        <v>45039</v>
      </c>
    </row>
    <row r="25" spans="1:1" x14ac:dyDescent="0.45">
      <c r="A25" s="1">
        <v>45040</v>
      </c>
    </row>
    <row r="26" spans="1:1" x14ac:dyDescent="0.45">
      <c r="A26" s="1">
        <v>45041</v>
      </c>
    </row>
    <row r="27" spans="1:1" x14ac:dyDescent="0.45">
      <c r="A27" s="1">
        <v>45042</v>
      </c>
    </row>
    <row r="28" spans="1:1" x14ac:dyDescent="0.45">
      <c r="A28" s="1">
        <v>45043</v>
      </c>
    </row>
    <row r="29" spans="1:1" x14ac:dyDescent="0.45">
      <c r="A29" s="1">
        <v>45044</v>
      </c>
    </row>
    <row r="30" spans="1:1" x14ac:dyDescent="0.45">
      <c r="A30" s="1">
        <v>45045</v>
      </c>
    </row>
    <row r="31" spans="1:1" x14ac:dyDescent="0.45">
      <c r="A31" s="1">
        <v>45046</v>
      </c>
    </row>
    <row r="32" spans="1:1" x14ac:dyDescent="0.45">
      <c r="A32" s="1">
        <v>45047</v>
      </c>
    </row>
    <row r="33" spans="1:1" x14ac:dyDescent="0.45">
      <c r="A33" s="1">
        <v>45048</v>
      </c>
    </row>
    <row r="34" spans="1:1" x14ac:dyDescent="0.45">
      <c r="A34" s="1">
        <v>45049</v>
      </c>
    </row>
    <row r="35" spans="1:1" x14ac:dyDescent="0.45">
      <c r="A35" s="1">
        <v>45050</v>
      </c>
    </row>
    <row r="36" spans="1:1" x14ac:dyDescent="0.45">
      <c r="A36" s="1">
        <v>45051</v>
      </c>
    </row>
    <row r="37" spans="1:1" x14ac:dyDescent="0.45">
      <c r="A37" s="1">
        <v>45052</v>
      </c>
    </row>
    <row r="38" spans="1:1" x14ac:dyDescent="0.45">
      <c r="A38" s="1">
        <v>45053</v>
      </c>
    </row>
    <row r="39" spans="1:1" x14ac:dyDescent="0.45">
      <c r="A39" s="1">
        <v>45054</v>
      </c>
    </row>
    <row r="40" spans="1:1" x14ac:dyDescent="0.45">
      <c r="A40" s="1">
        <v>45055</v>
      </c>
    </row>
    <row r="41" spans="1:1" x14ac:dyDescent="0.45">
      <c r="A41" s="1">
        <v>45056</v>
      </c>
    </row>
    <row r="42" spans="1:1" x14ac:dyDescent="0.45">
      <c r="A42" s="1">
        <v>45057</v>
      </c>
    </row>
    <row r="43" spans="1:1" x14ac:dyDescent="0.45">
      <c r="A43" s="1">
        <v>45058</v>
      </c>
    </row>
    <row r="44" spans="1:1" x14ac:dyDescent="0.45">
      <c r="A44" s="1">
        <v>45059</v>
      </c>
    </row>
    <row r="45" spans="1:1" x14ac:dyDescent="0.45">
      <c r="A45" s="1">
        <v>45060</v>
      </c>
    </row>
    <row r="46" spans="1:1" x14ac:dyDescent="0.45">
      <c r="A46" s="1">
        <v>45061</v>
      </c>
    </row>
    <row r="47" spans="1:1" x14ac:dyDescent="0.45">
      <c r="A47" s="1">
        <v>45062</v>
      </c>
    </row>
    <row r="48" spans="1:1" x14ac:dyDescent="0.45">
      <c r="A48" s="1">
        <v>45063</v>
      </c>
    </row>
    <row r="49" spans="1:1" x14ac:dyDescent="0.45">
      <c r="A49" s="1">
        <v>45064</v>
      </c>
    </row>
    <row r="50" spans="1:1" x14ac:dyDescent="0.45">
      <c r="A50" s="1">
        <v>45065</v>
      </c>
    </row>
    <row r="51" spans="1:1" x14ac:dyDescent="0.45">
      <c r="A51" s="1">
        <v>45066</v>
      </c>
    </row>
    <row r="52" spans="1:1" x14ac:dyDescent="0.45">
      <c r="A52" s="1">
        <v>45067</v>
      </c>
    </row>
    <row r="53" spans="1:1" x14ac:dyDescent="0.45">
      <c r="A53" s="1">
        <v>45068</v>
      </c>
    </row>
    <row r="54" spans="1:1" x14ac:dyDescent="0.45">
      <c r="A54" s="1">
        <v>45069</v>
      </c>
    </row>
    <row r="55" spans="1:1" x14ac:dyDescent="0.45">
      <c r="A55" s="1">
        <v>45070</v>
      </c>
    </row>
    <row r="56" spans="1:1" x14ac:dyDescent="0.45">
      <c r="A56" s="1">
        <v>45071</v>
      </c>
    </row>
    <row r="57" spans="1:1" x14ac:dyDescent="0.45">
      <c r="A57" s="1">
        <v>45072</v>
      </c>
    </row>
    <row r="58" spans="1:1" x14ac:dyDescent="0.45">
      <c r="A58" s="1">
        <v>45073</v>
      </c>
    </row>
    <row r="59" spans="1:1" x14ac:dyDescent="0.45">
      <c r="A59" s="1">
        <v>45074</v>
      </c>
    </row>
    <row r="60" spans="1:1" x14ac:dyDescent="0.45">
      <c r="A60" s="1">
        <v>45075</v>
      </c>
    </row>
    <row r="61" spans="1:1" x14ac:dyDescent="0.45">
      <c r="A61" s="1">
        <v>45076</v>
      </c>
    </row>
    <row r="62" spans="1:1" x14ac:dyDescent="0.45">
      <c r="A62" s="1">
        <v>45077</v>
      </c>
    </row>
    <row r="63" spans="1:1" x14ac:dyDescent="0.45">
      <c r="A63" s="1">
        <v>45078</v>
      </c>
    </row>
    <row r="64" spans="1:1" x14ac:dyDescent="0.45">
      <c r="A64" s="1">
        <v>45079</v>
      </c>
    </row>
    <row r="65" spans="1:1" x14ac:dyDescent="0.45">
      <c r="A65" s="1">
        <v>45080</v>
      </c>
    </row>
    <row r="66" spans="1:1" x14ac:dyDescent="0.45">
      <c r="A66" s="1">
        <v>45081</v>
      </c>
    </row>
    <row r="67" spans="1:1" x14ac:dyDescent="0.45">
      <c r="A67" s="1">
        <v>45082</v>
      </c>
    </row>
    <row r="68" spans="1:1" x14ac:dyDescent="0.45">
      <c r="A68" s="1">
        <v>45083</v>
      </c>
    </row>
    <row r="69" spans="1:1" x14ac:dyDescent="0.45">
      <c r="A69" s="1">
        <v>45084</v>
      </c>
    </row>
    <row r="70" spans="1:1" x14ac:dyDescent="0.45">
      <c r="A70" s="1">
        <v>45085</v>
      </c>
    </row>
    <row r="71" spans="1:1" x14ac:dyDescent="0.45">
      <c r="A71" s="1">
        <v>45086</v>
      </c>
    </row>
    <row r="72" spans="1:1" x14ac:dyDescent="0.45">
      <c r="A72" s="1">
        <v>45087</v>
      </c>
    </row>
    <row r="73" spans="1:1" x14ac:dyDescent="0.45">
      <c r="A73" s="1">
        <v>45088</v>
      </c>
    </row>
    <row r="74" spans="1:1" x14ac:dyDescent="0.45">
      <c r="A74" s="1">
        <v>45089</v>
      </c>
    </row>
    <row r="75" spans="1:1" x14ac:dyDescent="0.45">
      <c r="A75" s="1">
        <v>45090</v>
      </c>
    </row>
    <row r="76" spans="1:1" x14ac:dyDescent="0.45">
      <c r="A76" s="1">
        <v>45091</v>
      </c>
    </row>
    <row r="77" spans="1:1" x14ac:dyDescent="0.45">
      <c r="A77" s="1">
        <v>45092</v>
      </c>
    </row>
    <row r="78" spans="1:1" x14ac:dyDescent="0.45">
      <c r="A78" s="1">
        <v>45093</v>
      </c>
    </row>
    <row r="79" spans="1:1" x14ac:dyDescent="0.45">
      <c r="A79" s="1">
        <v>45094</v>
      </c>
    </row>
    <row r="80" spans="1:1" x14ac:dyDescent="0.45">
      <c r="A80" s="1">
        <v>45095</v>
      </c>
    </row>
    <row r="81" spans="1:1" x14ac:dyDescent="0.45">
      <c r="A81" s="1">
        <v>45096</v>
      </c>
    </row>
    <row r="82" spans="1:1" x14ac:dyDescent="0.45">
      <c r="A82" s="1">
        <v>45097</v>
      </c>
    </row>
    <row r="83" spans="1:1" x14ac:dyDescent="0.45">
      <c r="A83" s="1">
        <v>45098</v>
      </c>
    </row>
    <row r="84" spans="1:1" x14ac:dyDescent="0.45">
      <c r="A84" s="1">
        <v>45099</v>
      </c>
    </row>
    <row r="85" spans="1:1" x14ac:dyDescent="0.45">
      <c r="A85" s="1">
        <v>45100</v>
      </c>
    </row>
    <row r="86" spans="1:1" x14ac:dyDescent="0.45">
      <c r="A86" s="1">
        <v>45101</v>
      </c>
    </row>
    <row r="87" spans="1:1" x14ac:dyDescent="0.45">
      <c r="A87" s="1">
        <v>45102</v>
      </c>
    </row>
    <row r="88" spans="1:1" x14ac:dyDescent="0.45">
      <c r="A88" s="1">
        <v>45103</v>
      </c>
    </row>
    <row r="89" spans="1:1" x14ac:dyDescent="0.45">
      <c r="A89" s="1">
        <v>45104</v>
      </c>
    </row>
    <row r="90" spans="1:1" x14ac:dyDescent="0.45">
      <c r="A90" s="1">
        <v>45105</v>
      </c>
    </row>
    <row r="91" spans="1:1" x14ac:dyDescent="0.45">
      <c r="A91" s="1">
        <v>45106</v>
      </c>
    </row>
    <row r="92" spans="1:1" x14ac:dyDescent="0.45">
      <c r="A92" s="1">
        <v>45107</v>
      </c>
    </row>
    <row r="93" spans="1:1" x14ac:dyDescent="0.45">
      <c r="A93" s="1">
        <v>45108</v>
      </c>
    </row>
    <row r="94" spans="1:1" x14ac:dyDescent="0.45">
      <c r="A94" s="1">
        <v>45109</v>
      </c>
    </row>
    <row r="95" spans="1:1" x14ac:dyDescent="0.45">
      <c r="A95" s="1">
        <v>45110</v>
      </c>
    </row>
    <row r="96" spans="1:1" x14ac:dyDescent="0.45">
      <c r="A96" s="1">
        <v>45111</v>
      </c>
    </row>
    <row r="97" spans="1:1" x14ac:dyDescent="0.45">
      <c r="A97" s="1">
        <v>45112</v>
      </c>
    </row>
    <row r="98" spans="1:1" x14ac:dyDescent="0.45">
      <c r="A98" s="1">
        <v>45113</v>
      </c>
    </row>
    <row r="99" spans="1:1" x14ac:dyDescent="0.45">
      <c r="A99" s="1">
        <v>45114</v>
      </c>
    </row>
    <row r="100" spans="1:1" x14ac:dyDescent="0.45">
      <c r="A100" s="1">
        <v>45115</v>
      </c>
    </row>
    <row r="101" spans="1:1" x14ac:dyDescent="0.45">
      <c r="A101" s="1">
        <v>45116</v>
      </c>
    </row>
    <row r="102" spans="1:1" x14ac:dyDescent="0.45">
      <c r="A102" s="1">
        <v>45117</v>
      </c>
    </row>
    <row r="103" spans="1:1" x14ac:dyDescent="0.45">
      <c r="A103" s="1">
        <v>45118</v>
      </c>
    </row>
    <row r="104" spans="1:1" x14ac:dyDescent="0.45">
      <c r="A104" s="1">
        <v>45119</v>
      </c>
    </row>
    <row r="105" spans="1:1" x14ac:dyDescent="0.45">
      <c r="A105" s="1">
        <v>45120</v>
      </c>
    </row>
    <row r="106" spans="1:1" x14ac:dyDescent="0.45">
      <c r="A106" s="1">
        <v>45121</v>
      </c>
    </row>
    <row r="107" spans="1:1" x14ac:dyDescent="0.45">
      <c r="A107" s="1">
        <v>45122</v>
      </c>
    </row>
    <row r="108" spans="1:1" x14ac:dyDescent="0.45">
      <c r="A108" s="1">
        <v>45123</v>
      </c>
    </row>
    <row r="109" spans="1:1" x14ac:dyDescent="0.45">
      <c r="A109" s="1">
        <v>45124</v>
      </c>
    </row>
    <row r="110" spans="1:1" x14ac:dyDescent="0.45">
      <c r="A110" s="1">
        <v>45125</v>
      </c>
    </row>
    <row r="111" spans="1:1" x14ac:dyDescent="0.45">
      <c r="A111" s="1">
        <v>45126</v>
      </c>
    </row>
    <row r="112" spans="1:1" x14ac:dyDescent="0.45">
      <c r="A112" s="1">
        <v>45127</v>
      </c>
    </row>
    <row r="113" spans="1:1" x14ac:dyDescent="0.45">
      <c r="A113" s="1">
        <v>45128</v>
      </c>
    </row>
    <row r="114" spans="1:1" x14ac:dyDescent="0.45">
      <c r="A114" s="1">
        <v>45129</v>
      </c>
    </row>
    <row r="115" spans="1:1" x14ac:dyDescent="0.45">
      <c r="A115" s="1">
        <v>45130</v>
      </c>
    </row>
    <row r="116" spans="1:1" x14ac:dyDescent="0.45">
      <c r="A116" s="1">
        <v>45131</v>
      </c>
    </row>
    <row r="117" spans="1:1" x14ac:dyDescent="0.45">
      <c r="A117" s="1">
        <v>45132</v>
      </c>
    </row>
    <row r="118" spans="1:1" x14ac:dyDescent="0.45">
      <c r="A118" s="1">
        <v>45133</v>
      </c>
    </row>
    <row r="119" spans="1:1" x14ac:dyDescent="0.45">
      <c r="A119" s="1">
        <v>45134</v>
      </c>
    </row>
    <row r="120" spans="1:1" x14ac:dyDescent="0.45">
      <c r="A120" s="1">
        <v>45135</v>
      </c>
    </row>
    <row r="121" spans="1:1" x14ac:dyDescent="0.45">
      <c r="A121" s="1">
        <v>45136</v>
      </c>
    </row>
    <row r="122" spans="1:1" x14ac:dyDescent="0.45">
      <c r="A122" s="1">
        <v>45137</v>
      </c>
    </row>
    <row r="123" spans="1:1" x14ac:dyDescent="0.45">
      <c r="A123" s="1">
        <v>45138</v>
      </c>
    </row>
    <row r="124" spans="1:1" x14ac:dyDescent="0.45">
      <c r="A124" s="1">
        <v>45139</v>
      </c>
    </row>
    <row r="125" spans="1:1" x14ac:dyDescent="0.45">
      <c r="A125" s="1">
        <v>45140</v>
      </c>
    </row>
    <row r="126" spans="1:1" x14ac:dyDescent="0.45">
      <c r="A126" s="1">
        <v>45141</v>
      </c>
    </row>
    <row r="127" spans="1:1" x14ac:dyDescent="0.45">
      <c r="A127" s="1">
        <v>45142</v>
      </c>
    </row>
    <row r="128" spans="1:1" x14ac:dyDescent="0.45">
      <c r="A128" s="1">
        <v>45143</v>
      </c>
    </row>
    <row r="129" spans="1:1" x14ac:dyDescent="0.45">
      <c r="A129" s="1">
        <v>45144</v>
      </c>
    </row>
    <row r="130" spans="1:1" x14ac:dyDescent="0.45">
      <c r="A130" s="1">
        <v>45145</v>
      </c>
    </row>
    <row r="131" spans="1:1" x14ac:dyDescent="0.45">
      <c r="A131" s="1">
        <v>45146</v>
      </c>
    </row>
    <row r="132" spans="1:1" x14ac:dyDescent="0.45">
      <c r="A132" s="1">
        <v>45147</v>
      </c>
    </row>
    <row r="133" spans="1:1" x14ac:dyDescent="0.45">
      <c r="A133" s="1">
        <v>45148</v>
      </c>
    </row>
    <row r="134" spans="1:1" x14ac:dyDescent="0.45">
      <c r="A134" s="1">
        <v>45149</v>
      </c>
    </row>
    <row r="135" spans="1:1" x14ac:dyDescent="0.45">
      <c r="A135" s="1">
        <v>45150</v>
      </c>
    </row>
    <row r="136" spans="1:1" x14ac:dyDescent="0.45">
      <c r="A136" s="1">
        <v>45151</v>
      </c>
    </row>
    <row r="137" spans="1:1" x14ac:dyDescent="0.45">
      <c r="A137" s="1">
        <v>45152</v>
      </c>
    </row>
    <row r="138" spans="1:1" x14ac:dyDescent="0.45">
      <c r="A138" s="1">
        <v>45153</v>
      </c>
    </row>
    <row r="139" spans="1:1" x14ac:dyDescent="0.45">
      <c r="A139" s="1">
        <v>45154</v>
      </c>
    </row>
    <row r="140" spans="1:1" x14ac:dyDescent="0.45">
      <c r="A140" s="1">
        <v>45155</v>
      </c>
    </row>
    <row r="141" spans="1:1" x14ac:dyDescent="0.45">
      <c r="A141" s="1">
        <v>45156</v>
      </c>
    </row>
    <row r="142" spans="1:1" x14ac:dyDescent="0.45">
      <c r="A142" s="1">
        <v>45157</v>
      </c>
    </row>
    <row r="143" spans="1:1" x14ac:dyDescent="0.45">
      <c r="A143" s="1">
        <v>45158</v>
      </c>
    </row>
    <row r="144" spans="1:1" x14ac:dyDescent="0.45">
      <c r="A144" s="1">
        <v>45159</v>
      </c>
    </row>
    <row r="145" spans="1:1" x14ac:dyDescent="0.45">
      <c r="A145" s="1">
        <v>45160</v>
      </c>
    </row>
    <row r="146" spans="1:1" x14ac:dyDescent="0.45">
      <c r="A146" s="1">
        <v>45161</v>
      </c>
    </row>
    <row r="147" spans="1:1" x14ac:dyDescent="0.45">
      <c r="A147" s="1">
        <v>45162</v>
      </c>
    </row>
    <row r="148" spans="1:1" x14ac:dyDescent="0.45">
      <c r="A148" s="1">
        <v>45163</v>
      </c>
    </row>
    <row r="149" spans="1:1" x14ac:dyDescent="0.45">
      <c r="A149" s="1">
        <v>45164</v>
      </c>
    </row>
    <row r="150" spans="1:1" x14ac:dyDescent="0.45">
      <c r="A150" s="1">
        <v>45165</v>
      </c>
    </row>
    <row r="151" spans="1:1" x14ac:dyDescent="0.45">
      <c r="A151" s="1">
        <v>45166</v>
      </c>
    </row>
    <row r="152" spans="1:1" x14ac:dyDescent="0.45">
      <c r="A152" s="1">
        <v>45167</v>
      </c>
    </row>
    <row r="153" spans="1:1" x14ac:dyDescent="0.45">
      <c r="A153" s="1">
        <v>45168</v>
      </c>
    </row>
    <row r="154" spans="1:1" x14ac:dyDescent="0.45">
      <c r="A154" s="1">
        <v>45169</v>
      </c>
    </row>
    <row r="155" spans="1:1" x14ac:dyDescent="0.45">
      <c r="A155" s="1">
        <v>45170</v>
      </c>
    </row>
    <row r="156" spans="1:1" x14ac:dyDescent="0.45">
      <c r="A156" s="1">
        <v>45171</v>
      </c>
    </row>
    <row r="157" spans="1:1" x14ac:dyDescent="0.45">
      <c r="A157" s="1">
        <v>45172</v>
      </c>
    </row>
    <row r="158" spans="1:1" x14ac:dyDescent="0.45">
      <c r="A158" s="1">
        <v>45173</v>
      </c>
    </row>
    <row r="159" spans="1:1" x14ac:dyDescent="0.45">
      <c r="A159" s="1">
        <v>45174</v>
      </c>
    </row>
    <row r="160" spans="1:1" x14ac:dyDescent="0.45">
      <c r="A160" s="1">
        <v>45175</v>
      </c>
    </row>
    <row r="161" spans="1:1" x14ac:dyDescent="0.45">
      <c r="A161" s="1">
        <v>45176</v>
      </c>
    </row>
    <row r="162" spans="1:1" x14ac:dyDescent="0.45">
      <c r="A162" s="1">
        <v>45177</v>
      </c>
    </row>
    <row r="163" spans="1:1" x14ac:dyDescent="0.45">
      <c r="A163" s="1">
        <v>45178</v>
      </c>
    </row>
    <row r="164" spans="1:1" x14ac:dyDescent="0.45">
      <c r="A164" s="1">
        <v>45179</v>
      </c>
    </row>
    <row r="165" spans="1:1" x14ac:dyDescent="0.45">
      <c r="A165" s="1">
        <v>45180</v>
      </c>
    </row>
    <row r="166" spans="1:1" x14ac:dyDescent="0.45">
      <c r="A166" s="1">
        <v>45181</v>
      </c>
    </row>
    <row r="167" spans="1:1" x14ac:dyDescent="0.45">
      <c r="A167" s="1">
        <v>45182</v>
      </c>
    </row>
    <row r="168" spans="1:1" x14ac:dyDescent="0.45">
      <c r="A168" s="1">
        <v>45183</v>
      </c>
    </row>
    <row r="169" spans="1:1" x14ac:dyDescent="0.45">
      <c r="A169" s="1">
        <v>45184</v>
      </c>
    </row>
    <row r="170" spans="1:1" x14ac:dyDescent="0.45">
      <c r="A170" s="1">
        <v>45185</v>
      </c>
    </row>
    <row r="171" spans="1:1" x14ac:dyDescent="0.45">
      <c r="A171" s="1">
        <v>45186</v>
      </c>
    </row>
    <row r="172" spans="1:1" x14ac:dyDescent="0.45">
      <c r="A172" s="1">
        <v>45187</v>
      </c>
    </row>
    <row r="173" spans="1:1" x14ac:dyDescent="0.45">
      <c r="A173" s="1">
        <v>45188</v>
      </c>
    </row>
    <row r="174" spans="1:1" x14ac:dyDescent="0.45">
      <c r="A174" s="1">
        <v>45189</v>
      </c>
    </row>
    <row r="175" spans="1:1" x14ac:dyDescent="0.45">
      <c r="A175" s="1">
        <v>45190</v>
      </c>
    </row>
    <row r="176" spans="1:1" x14ac:dyDescent="0.45">
      <c r="A176" s="1">
        <v>45191</v>
      </c>
    </row>
    <row r="177" spans="1:1" x14ac:dyDescent="0.45">
      <c r="A177" s="1">
        <v>45192</v>
      </c>
    </row>
    <row r="178" spans="1:1" x14ac:dyDescent="0.45">
      <c r="A178" s="1">
        <v>45193</v>
      </c>
    </row>
    <row r="179" spans="1:1" x14ac:dyDescent="0.45">
      <c r="A179" s="1">
        <v>45194</v>
      </c>
    </row>
    <row r="180" spans="1:1" x14ac:dyDescent="0.45">
      <c r="A180" s="1">
        <v>45195</v>
      </c>
    </row>
    <row r="181" spans="1:1" x14ac:dyDescent="0.45">
      <c r="A181" s="1">
        <v>45196</v>
      </c>
    </row>
    <row r="182" spans="1:1" x14ac:dyDescent="0.45">
      <c r="A182" s="1">
        <v>45197</v>
      </c>
    </row>
    <row r="183" spans="1:1" x14ac:dyDescent="0.45">
      <c r="A183" s="1">
        <v>45198</v>
      </c>
    </row>
    <row r="184" spans="1:1" x14ac:dyDescent="0.45">
      <c r="A184" s="1">
        <v>45199</v>
      </c>
    </row>
    <row r="185" spans="1:1" x14ac:dyDescent="0.45">
      <c r="A185" s="1">
        <v>45200</v>
      </c>
    </row>
    <row r="186" spans="1:1" x14ac:dyDescent="0.45">
      <c r="A186" s="1">
        <v>45201</v>
      </c>
    </row>
    <row r="187" spans="1:1" x14ac:dyDescent="0.45">
      <c r="A187" s="1">
        <v>45202</v>
      </c>
    </row>
    <row r="188" spans="1:1" x14ac:dyDescent="0.45">
      <c r="A188" s="1">
        <v>45203</v>
      </c>
    </row>
    <row r="189" spans="1:1" x14ac:dyDescent="0.45">
      <c r="A189" s="1">
        <v>45204</v>
      </c>
    </row>
    <row r="190" spans="1:1" x14ac:dyDescent="0.45">
      <c r="A190" s="1">
        <v>45205</v>
      </c>
    </row>
    <row r="191" spans="1:1" x14ac:dyDescent="0.45">
      <c r="A191" s="1">
        <v>45206</v>
      </c>
    </row>
    <row r="192" spans="1:1" x14ac:dyDescent="0.45">
      <c r="A192" s="1">
        <v>45207</v>
      </c>
    </row>
    <row r="193" spans="1:1" x14ac:dyDescent="0.45">
      <c r="A193" s="1">
        <v>45208</v>
      </c>
    </row>
    <row r="194" spans="1:1" x14ac:dyDescent="0.45">
      <c r="A194" s="1">
        <v>45209</v>
      </c>
    </row>
    <row r="195" spans="1:1" x14ac:dyDescent="0.45">
      <c r="A195" s="1">
        <v>45210</v>
      </c>
    </row>
    <row r="196" spans="1:1" x14ac:dyDescent="0.45">
      <c r="A196" s="1">
        <v>45211</v>
      </c>
    </row>
    <row r="197" spans="1:1" x14ac:dyDescent="0.45">
      <c r="A197" s="1">
        <v>45212</v>
      </c>
    </row>
    <row r="198" spans="1:1" x14ac:dyDescent="0.45">
      <c r="A198" s="1">
        <v>45213</v>
      </c>
    </row>
    <row r="199" spans="1:1" x14ac:dyDescent="0.45">
      <c r="A199" s="1">
        <v>45214</v>
      </c>
    </row>
    <row r="200" spans="1:1" x14ac:dyDescent="0.45">
      <c r="A200" s="1">
        <v>45215</v>
      </c>
    </row>
    <row r="201" spans="1:1" x14ac:dyDescent="0.45">
      <c r="A201" s="1">
        <v>45216</v>
      </c>
    </row>
    <row r="202" spans="1:1" x14ac:dyDescent="0.45">
      <c r="A202" s="1">
        <v>45217</v>
      </c>
    </row>
    <row r="203" spans="1:1" x14ac:dyDescent="0.45">
      <c r="A203" s="1">
        <v>45218</v>
      </c>
    </row>
    <row r="204" spans="1:1" x14ac:dyDescent="0.45">
      <c r="A204" s="1">
        <v>45219</v>
      </c>
    </row>
    <row r="205" spans="1:1" x14ac:dyDescent="0.45">
      <c r="A205" s="1">
        <v>45220</v>
      </c>
    </row>
    <row r="206" spans="1:1" x14ac:dyDescent="0.45">
      <c r="A206" s="1">
        <v>45221</v>
      </c>
    </row>
    <row r="207" spans="1:1" x14ac:dyDescent="0.45">
      <c r="A207" s="1">
        <v>45222</v>
      </c>
    </row>
    <row r="208" spans="1:1" x14ac:dyDescent="0.45">
      <c r="A208" s="1">
        <v>45223</v>
      </c>
    </row>
    <row r="209" spans="1:1" x14ac:dyDescent="0.45">
      <c r="A209" s="1">
        <v>45224</v>
      </c>
    </row>
    <row r="210" spans="1:1" x14ac:dyDescent="0.45">
      <c r="A210" s="1">
        <v>45225</v>
      </c>
    </row>
    <row r="211" spans="1:1" x14ac:dyDescent="0.45">
      <c r="A211" s="1">
        <v>45226</v>
      </c>
    </row>
    <row r="212" spans="1:1" x14ac:dyDescent="0.45">
      <c r="A212" s="1">
        <v>45227</v>
      </c>
    </row>
    <row r="213" spans="1:1" x14ac:dyDescent="0.45">
      <c r="A213" s="1">
        <v>45228</v>
      </c>
    </row>
    <row r="214" spans="1:1" x14ac:dyDescent="0.45">
      <c r="A214" s="1">
        <v>45229</v>
      </c>
    </row>
    <row r="215" spans="1:1" x14ac:dyDescent="0.45">
      <c r="A215" s="1">
        <v>45230</v>
      </c>
    </row>
    <row r="216" spans="1:1" x14ac:dyDescent="0.45">
      <c r="A216" s="1">
        <v>45231</v>
      </c>
    </row>
    <row r="217" spans="1:1" x14ac:dyDescent="0.45">
      <c r="A217" s="1">
        <v>45232</v>
      </c>
    </row>
    <row r="218" spans="1:1" x14ac:dyDescent="0.45">
      <c r="A218" s="1">
        <v>45233</v>
      </c>
    </row>
    <row r="219" spans="1:1" x14ac:dyDescent="0.45">
      <c r="A219" s="1">
        <v>45234</v>
      </c>
    </row>
    <row r="220" spans="1:1" x14ac:dyDescent="0.45">
      <c r="A220" s="1">
        <v>45235</v>
      </c>
    </row>
    <row r="221" spans="1:1" x14ac:dyDescent="0.45">
      <c r="A221" s="1">
        <v>45236</v>
      </c>
    </row>
    <row r="222" spans="1:1" x14ac:dyDescent="0.45">
      <c r="A222" s="1">
        <v>45237</v>
      </c>
    </row>
    <row r="223" spans="1:1" x14ac:dyDescent="0.45">
      <c r="A223" s="1">
        <v>45238</v>
      </c>
    </row>
    <row r="224" spans="1:1" x14ac:dyDescent="0.45">
      <c r="A224" s="1">
        <v>45239</v>
      </c>
    </row>
    <row r="225" spans="1:1" x14ac:dyDescent="0.45">
      <c r="A225" s="1">
        <v>45240</v>
      </c>
    </row>
    <row r="226" spans="1:1" x14ac:dyDescent="0.45">
      <c r="A226" s="1">
        <v>45241</v>
      </c>
    </row>
    <row r="227" spans="1:1" x14ac:dyDescent="0.45">
      <c r="A227" s="1">
        <v>45242</v>
      </c>
    </row>
    <row r="228" spans="1:1" x14ac:dyDescent="0.45">
      <c r="A228" s="1">
        <v>45243</v>
      </c>
    </row>
    <row r="229" spans="1:1" x14ac:dyDescent="0.45">
      <c r="A229" s="1">
        <v>45244</v>
      </c>
    </row>
    <row r="230" spans="1:1" x14ac:dyDescent="0.45">
      <c r="A230" s="1">
        <v>45245</v>
      </c>
    </row>
    <row r="231" spans="1:1" x14ac:dyDescent="0.45">
      <c r="A231" s="1">
        <v>45246</v>
      </c>
    </row>
    <row r="232" spans="1:1" x14ac:dyDescent="0.45">
      <c r="A232" s="1">
        <v>45247</v>
      </c>
    </row>
    <row r="233" spans="1:1" x14ac:dyDescent="0.45">
      <c r="A233" s="1">
        <v>45248</v>
      </c>
    </row>
    <row r="234" spans="1:1" x14ac:dyDescent="0.45">
      <c r="A234" s="1">
        <v>45249</v>
      </c>
    </row>
    <row r="235" spans="1:1" x14ac:dyDescent="0.45">
      <c r="A235" s="1">
        <v>45250</v>
      </c>
    </row>
    <row r="236" spans="1:1" x14ac:dyDescent="0.45">
      <c r="A236" s="1">
        <v>45251</v>
      </c>
    </row>
    <row r="237" spans="1:1" x14ac:dyDescent="0.45">
      <c r="A237" s="1">
        <v>45252</v>
      </c>
    </row>
    <row r="238" spans="1:1" x14ac:dyDescent="0.45">
      <c r="A238" s="1">
        <v>45253</v>
      </c>
    </row>
    <row r="239" spans="1:1" x14ac:dyDescent="0.45">
      <c r="A239" s="1">
        <v>45254</v>
      </c>
    </row>
    <row r="240" spans="1:1" x14ac:dyDescent="0.45">
      <c r="A240" s="1">
        <v>45255</v>
      </c>
    </row>
    <row r="241" spans="1:1" x14ac:dyDescent="0.45">
      <c r="A241" s="1">
        <v>45256</v>
      </c>
    </row>
    <row r="242" spans="1:1" x14ac:dyDescent="0.45">
      <c r="A242" s="1">
        <v>45257</v>
      </c>
    </row>
    <row r="243" spans="1:1" x14ac:dyDescent="0.45">
      <c r="A243" s="1">
        <v>45258</v>
      </c>
    </row>
    <row r="244" spans="1:1" x14ac:dyDescent="0.45">
      <c r="A244" s="1">
        <v>45259</v>
      </c>
    </row>
    <row r="245" spans="1:1" x14ac:dyDescent="0.45">
      <c r="A245" s="1">
        <v>45260</v>
      </c>
    </row>
    <row r="246" spans="1:1" x14ac:dyDescent="0.45">
      <c r="A246" s="1">
        <v>45261</v>
      </c>
    </row>
    <row r="247" spans="1:1" x14ac:dyDescent="0.45">
      <c r="A247" s="1">
        <v>45262</v>
      </c>
    </row>
    <row r="248" spans="1:1" x14ac:dyDescent="0.45">
      <c r="A248" s="1">
        <v>45263</v>
      </c>
    </row>
    <row r="249" spans="1:1" x14ac:dyDescent="0.45">
      <c r="A249" s="1">
        <v>45264</v>
      </c>
    </row>
    <row r="250" spans="1:1" x14ac:dyDescent="0.45">
      <c r="A250" s="1">
        <v>45265</v>
      </c>
    </row>
    <row r="251" spans="1:1" x14ac:dyDescent="0.45">
      <c r="A251" s="1">
        <v>45266</v>
      </c>
    </row>
    <row r="252" spans="1:1" x14ac:dyDescent="0.45">
      <c r="A252" s="1">
        <v>45267</v>
      </c>
    </row>
    <row r="253" spans="1:1" x14ac:dyDescent="0.45">
      <c r="A253" s="1">
        <v>45268</v>
      </c>
    </row>
    <row r="254" spans="1:1" x14ac:dyDescent="0.45">
      <c r="A254" s="1">
        <v>45269</v>
      </c>
    </row>
    <row r="255" spans="1:1" x14ac:dyDescent="0.45">
      <c r="A255" s="1">
        <v>45270</v>
      </c>
    </row>
    <row r="256" spans="1:1" x14ac:dyDescent="0.45">
      <c r="A256" s="1">
        <v>45271</v>
      </c>
    </row>
    <row r="257" spans="1:1" x14ac:dyDescent="0.45">
      <c r="A257" s="1">
        <v>45272</v>
      </c>
    </row>
    <row r="258" spans="1:1" x14ac:dyDescent="0.45">
      <c r="A258" s="1">
        <v>45273</v>
      </c>
    </row>
    <row r="259" spans="1:1" x14ac:dyDescent="0.45">
      <c r="A259" s="1">
        <v>45274</v>
      </c>
    </row>
    <row r="260" spans="1:1" x14ac:dyDescent="0.45">
      <c r="A260" s="1">
        <v>45275</v>
      </c>
    </row>
    <row r="261" spans="1:1" x14ac:dyDescent="0.45">
      <c r="A261" s="1">
        <v>45276</v>
      </c>
    </row>
    <row r="262" spans="1:1" x14ac:dyDescent="0.45">
      <c r="A262" s="1">
        <v>45277</v>
      </c>
    </row>
    <row r="263" spans="1:1" x14ac:dyDescent="0.45">
      <c r="A263" s="1">
        <v>45278</v>
      </c>
    </row>
    <row r="264" spans="1:1" x14ac:dyDescent="0.45">
      <c r="A264" s="1">
        <v>45279</v>
      </c>
    </row>
    <row r="265" spans="1:1" x14ac:dyDescent="0.45">
      <c r="A265" s="1">
        <v>45280</v>
      </c>
    </row>
    <row r="266" spans="1:1" x14ac:dyDescent="0.45">
      <c r="A266" s="1">
        <v>45281</v>
      </c>
    </row>
    <row r="267" spans="1:1" x14ac:dyDescent="0.45">
      <c r="A267" s="1">
        <v>45282</v>
      </c>
    </row>
    <row r="268" spans="1:1" x14ac:dyDescent="0.45">
      <c r="A268" s="1">
        <v>45283</v>
      </c>
    </row>
    <row r="269" spans="1:1" x14ac:dyDescent="0.45">
      <c r="A269" s="1">
        <v>45284</v>
      </c>
    </row>
    <row r="270" spans="1:1" x14ac:dyDescent="0.45">
      <c r="A270" s="1">
        <v>45285</v>
      </c>
    </row>
    <row r="271" spans="1:1" x14ac:dyDescent="0.45">
      <c r="A271" s="1">
        <v>45286</v>
      </c>
    </row>
    <row r="272" spans="1:1" x14ac:dyDescent="0.45">
      <c r="A272" s="1">
        <v>45287</v>
      </c>
    </row>
    <row r="273" spans="1:1" x14ac:dyDescent="0.45">
      <c r="A273" s="1">
        <v>45288</v>
      </c>
    </row>
    <row r="274" spans="1:1" x14ac:dyDescent="0.45">
      <c r="A274" s="1">
        <v>45289</v>
      </c>
    </row>
    <row r="275" spans="1:1" x14ac:dyDescent="0.45">
      <c r="A275" s="1">
        <v>45290</v>
      </c>
    </row>
    <row r="276" spans="1:1" x14ac:dyDescent="0.45">
      <c r="A276" s="1">
        <v>45291</v>
      </c>
    </row>
    <row r="277" spans="1:1" x14ac:dyDescent="0.45">
      <c r="A277" s="1">
        <v>45292</v>
      </c>
    </row>
    <row r="278" spans="1:1" x14ac:dyDescent="0.45">
      <c r="A278" s="1">
        <v>45293</v>
      </c>
    </row>
    <row r="279" spans="1:1" x14ac:dyDescent="0.45">
      <c r="A279" s="1">
        <v>45294</v>
      </c>
    </row>
    <row r="280" spans="1:1" x14ac:dyDescent="0.45">
      <c r="A280" s="1">
        <v>45295</v>
      </c>
    </row>
    <row r="281" spans="1:1" x14ac:dyDescent="0.45">
      <c r="A281" s="1">
        <v>45296</v>
      </c>
    </row>
    <row r="282" spans="1:1" x14ac:dyDescent="0.45">
      <c r="A282" s="1">
        <v>45297</v>
      </c>
    </row>
    <row r="283" spans="1:1" x14ac:dyDescent="0.45">
      <c r="A283" s="1">
        <v>45298</v>
      </c>
    </row>
    <row r="284" spans="1:1" x14ac:dyDescent="0.45">
      <c r="A284" s="1">
        <v>45299</v>
      </c>
    </row>
    <row r="285" spans="1:1" x14ac:dyDescent="0.45">
      <c r="A285" s="1">
        <v>45300</v>
      </c>
    </row>
    <row r="286" spans="1:1" x14ac:dyDescent="0.45">
      <c r="A286" s="1">
        <v>45301</v>
      </c>
    </row>
    <row r="287" spans="1:1" x14ac:dyDescent="0.45">
      <c r="A287" s="1">
        <v>45302</v>
      </c>
    </row>
    <row r="288" spans="1:1" x14ac:dyDescent="0.45">
      <c r="A288" s="1">
        <v>45303</v>
      </c>
    </row>
    <row r="289" spans="1:1" x14ac:dyDescent="0.45">
      <c r="A289" s="1">
        <v>45304</v>
      </c>
    </row>
    <row r="290" spans="1:1" x14ac:dyDescent="0.45">
      <c r="A290" s="1">
        <v>45305</v>
      </c>
    </row>
    <row r="291" spans="1:1" x14ac:dyDescent="0.45">
      <c r="A291" s="1">
        <v>45306</v>
      </c>
    </row>
    <row r="292" spans="1:1" x14ac:dyDescent="0.45">
      <c r="A292" s="1">
        <v>45307</v>
      </c>
    </row>
    <row r="293" spans="1:1" x14ac:dyDescent="0.45">
      <c r="A293" s="1">
        <v>45308</v>
      </c>
    </row>
    <row r="294" spans="1:1" x14ac:dyDescent="0.45">
      <c r="A294" s="1">
        <v>45309</v>
      </c>
    </row>
    <row r="295" spans="1:1" x14ac:dyDescent="0.45">
      <c r="A295" s="1">
        <v>45310</v>
      </c>
    </row>
    <row r="296" spans="1:1" x14ac:dyDescent="0.45">
      <c r="A296" s="1">
        <v>45311</v>
      </c>
    </row>
    <row r="297" spans="1:1" x14ac:dyDescent="0.45">
      <c r="A297" s="1">
        <v>45312</v>
      </c>
    </row>
    <row r="298" spans="1:1" x14ac:dyDescent="0.45">
      <c r="A298" s="1">
        <v>45313</v>
      </c>
    </row>
    <row r="299" spans="1:1" x14ac:dyDescent="0.45">
      <c r="A299" s="1">
        <v>45314</v>
      </c>
    </row>
    <row r="300" spans="1:1" x14ac:dyDescent="0.45">
      <c r="A300" s="1">
        <v>45315</v>
      </c>
    </row>
    <row r="301" spans="1:1" x14ac:dyDescent="0.45">
      <c r="A301" s="1">
        <v>45316</v>
      </c>
    </row>
    <row r="302" spans="1:1" x14ac:dyDescent="0.45">
      <c r="A302" s="1">
        <v>45317</v>
      </c>
    </row>
    <row r="303" spans="1:1" x14ac:dyDescent="0.45">
      <c r="A303" s="1">
        <v>45318</v>
      </c>
    </row>
    <row r="304" spans="1:1" x14ac:dyDescent="0.45">
      <c r="A304" s="1">
        <v>45319</v>
      </c>
    </row>
    <row r="305" spans="1:1" x14ac:dyDescent="0.45">
      <c r="A305" s="1">
        <v>45320</v>
      </c>
    </row>
    <row r="306" spans="1:1" x14ac:dyDescent="0.45">
      <c r="A306" s="1">
        <v>45321</v>
      </c>
    </row>
    <row r="307" spans="1:1" x14ac:dyDescent="0.45">
      <c r="A307" s="1">
        <v>45322</v>
      </c>
    </row>
    <row r="308" spans="1:1" x14ac:dyDescent="0.45">
      <c r="A308" s="1">
        <v>45323</v>
      </c>
    </row>
    <row r="309" spans="1:1" x14ac:dyDescent="0.45">
      <c r="A309" s="1">
        <v>45324</v>
      </c>
    </row>
    <row r="310" spans="1:1" x14ac:dyDescent="0.45">
      <c r="A310" s="1">
        <v>45325</v>
      </c>
    </row>
    <row r="311" spans="1:1" x14ac:dyDescent="0.45">
      <c r="A311" s="1">
        <v>45326</v>
      </c>
    </row>
    <row r="312" spans="1:1" x14ac:dyDescent="0.45">
      <c r="A312" s="1">
        <v>45327</v>
      </c>
    </row>
    <row r="313" spans="1:1" x14ac:dyDescent="0.45">
      <c r="A313" s="1">
        <v>45328</v>
      </c>
    </row>
    <row r="314" spans="1:1" x14ac:dyDescent="0.45">
      <c r="A314" s="1">
        <v>45329</v>
      </c>
    </row>
    <row r="315" spans="1:1" x14ac:dyDescent="0.45">
      <c r="A315" s="1">
        <v>45330</v>
      </c>
    </row>
    <row r="316" spans="1:1" x14ac:dyDescent="0.45">
      <c r="A316" s="1">
        <v>45331</v>
      </c>
    </row>
    <row r="317" spans="1:1" x14ac:dyDescent="0.45">
      <c r="A317" s="1">
        <v>45332</v>
      </c>
    </row>
    <row r="318" spans="1:1" x14ac:dyDescent="0.45">
      <c r="A318" s="1">
        <v>45333</v>
      </c>
    </row>
    <row r="319" spans="1:1" x14ac:dyDescent="0.45">
      <c r="A319" s="1">
        <v>45334</v>
      </c>
    </row>
    <row r="320" spans="1:1" x14ac:dyDescent="0.45">
      <c r="A320" s="1">
        <v>45335</v>
      </c>
    </row>
    <row r="321" spans="1:1" x14ac:dyDescent="0.45">
      <c r="A321" s="1">
        <v>45336</v>
      </c>
    </row>
    <row r="322" spans="1:1" x14ac:dyDescent="0.45">
      <c r="A322" s="1">
        <v>45337</v>
      </c>
    </row>
    <row r="323" spans="1:1" x14ac:dyDescent="0.45">
      <c r="A323" s="1">
        <v>45338</v>
      </c>
    </row>
    <row r="324" spans="1:1" x14ac:dyDescent="0.45">
      <c r="A324" s="1">
        <v>45339</v>
      </c>
    </row>
    <row r="325" spans="1:1" x14ac:dyDescent="0.45">
      <c r="A325" s="1">
        <v>45340</v>
      </c>
    </row>
    <row r="326" spans="1:1" x14ac:dyDescent="0.45">
      <c r="A326" s="1">
        <v>45341</v>
      </c>
    </row>
    <row r="327" spans="1:1" x14ac:dyDescent="0.45">
      <c r="A327" s="1">
        <v>45342</v>
      </c>
    </row>
    <row r="328" spans="1:1" x14ac:dyDescent="0.45">
      <c r="A328" s="1">
        <v>45343</v>
      </c>
    </row>
    <row r="329" spans="1:1" x14ac:dyDescent="0.45">
      <c r="A329" s="1">
        <v>45344</v>
      </c>
    </row>
    <row r="330" spans="1:1" x14ac:dyDescent="0.45">
      <c r="A330" s="1">
        <v>45345</v>
      </c>
    </row>
    <row r="331" spans="1:1" x14ac:dyDescent="0.45">
      <c r="A331" s="1">
        <v>45346</v>
      </c>
    </row>
    <row r="332" spans="1:1" x14ac:dyDescent="0.45">
      <c r="A332" s="1">
        <v>45347</v>
      </c>
    </row>
    <row r="333" spans="1:1" x14ac:dyDescent="0.45">
      <c r="A333" s="1">
        <v>45348</v>
      </c>
    </row>
    <row r="334" spans="1:1" x14ac:dyDescent="0.45">
      <c r="A334" s="1">
        <v>45349</v>
      </c>
    </row>
    <row r="335" spans="1:1" x14ac:dyDescent="0.45">
      <c r="A335" s="1">
        <v>45350</v>
      </c>
    </row>
    <row r="336" spans="1:1" x14ac:dyDescent="0.45">
      <c r="A336" s="1">
        <v>45351</v>
      </c>
    </row>
    <row r="337" spans="1:1" x14ac:dyDescent="0.45">
      <c r="A337" s="1">
        <v>45352</v>
      </c>
    </row>
    <row r="338" spans="1:1" x14ac:dyDescent="0.45">
      <c r="A338" s="1">
        <v>45353</v>
      </c>
    </row>
    <row r="339" spans="1:1" x14ac:dyDescent="0.45">
      <c r="A339" s="1">
        <v>45354</v>
      </c>
    </row>
    <row r="340" spans="1:1" x14ac:dyDescent="0.45">
      <c r="A340" s="1">
        <v>45355</v>
      </c>
    </row>
    <row r="341" spans="1:1" x14ac:dyDescent="0.45">
      <c r="A341" s="1">
        <v>45356</v>
      </c>
    </row>
    <row r="342" spans="1:1" x14ac:dyDescent="0.45">
      <c r="A342" s="1">
        <v>45357</v>
      </c>
    </row>
    <row r="343" spans="1:1" x14ac:dyDescent="0.45">
      <c r="A343" s="1">
        <v>45358</v>
      </c>
    </row>
    <row r="344" spans="1:1" x14ac:dyDescent="0.45">
      <c r="A344" s="1">
        <v>45359</v>
      </c>
    </row>
    <row r="345" spans="1:1" x14ac:dyDescent="0.45">
      <c r="A345" s="1">
        <v>45360</v>
      </c>
    </row>
    <row r="346" spans="1:1" x14ac:dyDescent="0.45">
      <c r="A346" s="1">
        <v>45361</v>
      </c>
    </row>
    <row r="347" spans="1:1" x14ac:dyDescent="0.45">
      <c r="A347" s="1">
        <v>45362</v>
      </c>
    </row>
    <row r="348" spans="1:1" x14ac:dyDescent="0.45">
      <c r="A348" s="1">
        <v>45363</v>
      </c>
    </row>
    <row r="349" spans="1:1" x14ac:dyDescent="0.45">
      <c r="A349" s="1">
        <v>45364</v>
      </c>
    </row>
    <row r="350" spans="1:1" x14ac:dyDescent="0.45">
      <c r="A350" s="1">
        <v>45365</v>
      </c>
    </row>
    <row r="351" spans="1:1" x14ac:dyDescent="0.45">
      <c r="A351" s="1">
        <v>45366</v>
      </c>
    </row>
    <row r="352" spans="1:1" x14ac:dyDescent="0.45">
      <c r="A352" s="1">
        <v>45367</v>
      </c>
    </row>
    <row r="353" spans="1:1" x14ac:dyDescent="0.45">
      <c r="A353" s="1">
        <v>45368</v>
      </c>
    </row>
    <row r="354" spans="1:1" x14ac:dyDescent="0.45">
      <c r="A354" s="1">
        <v>45369</v>
      </c>
    </row>
    <row r="355" spans="1:1" x14ac:dyDescent="0.45">
      <c r="A355" s="1">
        <v>45370</v>
      </c>
    </row>
    <row r="356" spans="1:1" x14ac:dyDescent="0.45">
      <c r="A356" s="1">
        <v>45371</v>
      </c>
    </row>
    <row r="357" spans="1:1" x14ac:dyDescent="0.45">
      <c r="A357" s="1">
        <v>45372</v>
      </c>
    </row>
    <row r="358" spans="1:1" x14ac:dyDescent="0.45">
      <c r="A358" s="1">
        <v>45373</v>
      </c>
    </row>
    <row r="359" spans="1:1" x14ac:dyDescent="0.45">
      <c r="A359" s="1">
        <v>45374</v>
      </c>
    </row>
    <row r="360" spans="1:1" x14ac:dyDescent="0.45">
      <c r="A360" s="1">
        <v>45375</v>
      </c>
    </row>
    <row r="361" spans="1:1" x14ac:dyDescent="0.45">
      <c r="A361" s="1">
        <v>45376</v>
      </c>
    </row>
    <row r="362" spans="1:1" x14ac:dyDescent="0.45">
      <c r="A362" s="1">
        <v>45377</v>
      </c>
    </row>
    <row r="363" spans="1:1" x14ac:dyDescent="0.45">
      <c r="A363" s="1">
        <v>45378</v>
      </c>
    </row>
    <row r="364" spans="1:1" x14ac:dyDescent="0.45">
      <c r="A364" s="1">
        <v>45379</v>
      </c>
    </row>
    <row r="365" spans="1:1" x14ac:dyDescent="0.45">
      <c r="A365" s="1">
        <v>45380</v>
      </c>
    </row>
    <row r="366" spans="1:1" x14ac:dyDescent="0.45">
      <c r="A366" s="1">
        <v>45381</v>
      </c>
    </row>
    <row r="367" spans="1:1" x14ac:dyDescent="0.45">
      <c r="A367" s="1">
        <v>45382</v>
      </c>
    </row>
    <row r="368" spans="1:1" x14ac:dyDescent="0.45">
      <c r="A368" s="1">
        <v>45383</v>
      </c>
    </row>
    <row r="369" spans="1:1" x14ac:dyDescent="0.45">
      <c r="A369" s="1">
        <v>45384</v>
      </c>
    </row>
    <row r="370" spans="1:1" x14ac:dyDescent="0.45">
      <c r="A370" s="1">
        <v>45385</v>
      </c>
    </row>
    <row r="371" spans="1:1" x14ac:dyDescent="0.45">
      <c r="A371" s="1">
        <v>45386</v>
      </c>
    </row>
    <row r="372" spans="1:1" x14ac:dyDescent="0.45">
      <c r="A372" s="1">
        <v>45387</v>
      </c>
    </row>
    <row r="373" spans="1:1" x14ac:dyDescent="0.45">
      <c r="A373" s="1">
        <v>45388</v>
      </c>
    </row>
    <row r="374" spans="1:1" x14ac:dyDescent="0.45">
      <c r="A374" s="1">
        <v>45389</v>
      </c>
    </row>
    <row r="375" spans="1:1" x14ac:dyDescent="0.45">
      <c r="A375" s="1">
        <v>45390</v>
      </c>
    </row>
    <row r="376" spans="1:1" x14ac:dyDescent="0.45">
      <c r="A376" s="1">
        <v>45391</v>
      </c>
    </row>
    <row r="377" spans="1:1" x14ac:dyDescent="0.45">
      <c r="A377" s="1">
        <v>45392</v>
      </c>
    </row>
    <row r="378" spans="1:1" x14ac:dyDescent="0.45">
      <c r="A378" s="1">
        <v>45393</v>
      </c>
    </row>
    <row r="379" spans="1:1" x14ac:dyDescent="0.45">
      <c r="A379" s="1">
        <v>45394</v>
      </c>
    </row>
    <row r="380" spans="1:1" x14ac:dyDescent="0.45">
      <c r="A380" s="1">
        <v>45395</v>
      </c>
    </row>
    <row r="381" spans="1:1" x14ac:dyDescent="0.45">
      <c r="A381" s="1">
        <v>45396</v>
      </c>
    </row>
    <row r="382" spans="1:1" x14ac:dyDescent="0.45">
      <c r="A382" s="1">
        <v>45397</v>
      </c>
    </row>
    <row r="383" spans="1:1" x14ac:dyDescent="0.45">
      <c r="A383" s="1">
        <v>45398</v>
      </c>
    </row>
    <row r="384" spans="1:1" x14ac:dyDescent="0.45">
      <c r="A384" s="1">
        <v>45399</v>
      </c>
    </row>
    <row r="385" spans="1:1" x14ac:dyDescent="0.45">
      <c r="A385" s="1">
        <v>45400</v>
      </c>
    </row>
    <row r="386" spans="1:1" x14ac:dyDescent="0.45">
      <c r="A386" s="1">
        <v>45401</v>
      </c>
    </row>
    <row r="387" spans="1:1" x14ac:dyDescent="0.45">
      <c r="A387" s="1">
        <v>45402</v>
      </c>
    </row>
    <row r="388" spans="1:1" x14ac:dyDescent="0.45">
      <c r="A388" s="1">
        <v>45403</v>
      </c>
    </row>
    <row r="389" spans="1:1" x14ac:dyDescent="0.45">
      <c r="A389" s="1">
        <v>45404</v>
      </c>
    </row>
    <row r="390" spans="1:1" x14ac:dyDescent="0.45">
      <c r="A390" s="1">
        <v>45405</v>
      </c>
    </row>
    <row r="391" spans="1:1" x14ac:dyDescent="0.45">
      <c r="A391" s="1">
        <v>45406</v>
      </c>
    </row>
    <row r="392" spans="1:1" x14ac:dyDescent="0.45">
      <c r="A392" s="1">
        <v>45407</v>
      </c>
    </row>
    <row r="393" spans="1:1" x14ac:dyDescent="0.45">
      <c r="A393" s="1">
        <v>45408</v>
      </c>
    </row>
    <row r="394" spans="1:1" x14ac:dyDescent="0.45">
      <c r="A394" s="1">
        <v>45409</v>
      </c>
    </row>
    <row r="395" spans="1:1" x14ac:dyDescent="0.45">
      <c r="A395" s="1">
        <v>45410</v>
      </c>
    </row>
    <row r="396" spans="1:1" x14ac:dyDescent="0.45">
      <c r="A396" s="1">
        <v>45411</v>
      </c>
    </row>
    <row r="397" spans="1:1" x14ac:dyDescent="0.45">
      <c r="A397" s="1">
        <v>45412</v>
      </c>
    </row>
    <row r="398" spans="1:1" x14ac:dyDescent="0.45">
      <c r="A398" s="1">
        <v>45413</v>
      </c>
    </row>
    <row r="399" spans="1:1" x14ac:dyDescent="0.45">
      <c r="A399" s="1">
        <v>45414</v>
      </c>
    </row>
    <row r="400" spans="1:1" x14ac:dyDescent="0.45">
      <c r="A400" s="1">
        <v>45415</v>
      </c>
    </row>
    <row r="401" spans="1:1" x14ac:dyDescent="0.45">
      <c r="A401" s="1">
        <v>45416</v>
      </c>
    </row>
    <row r="402" spans="1:1" x14ac:dyDescent="0.45">
      <c r="A402" s="1">
        <v>45417</v>
      </c>
    </row>
    <row r="403" spans="1:1" x14ac:dyDescent="0.45">
      <c r="A403" s="1">
        <v>45418</v>
      </c>
    </row>
    <row r="404" spans="1:1" x14ac:dyDescent="0.45">
      <c r="A404" s="1">
        <v>45419</v>
      </c>
    </row>
    <row r="405" spans="1:1" x14ac:dyDescent="0.45">
      <c r="A405" s="1">
        <v>45420</v>
      </c>
    </row>
    <row r="406" spans="1:1" x14ac:dyDescent="0.45">
      <c r="A406" s="1">
        <v>45421</v>
      </c>
    </row>
    <row r="407" spans="1:1" x14ac:dyDescent="0.45">
      <c r="A407" s="1">
        <v>45422</v>
      </c>
    </row>
    <row r="408" spans="1:1" x14ac:dyDescent="0.45">
      <c r="A408" s="1">
        <v>45423</v>
      </c>
    </row>
    <row r="409" spans="1:1" x14ac:dyDescent="0.45">
      <c r="A409" s="1">
        <v>45424</v>
      </c>
    </row>
    <row r="410" spans="1:1" x14ac:dyDescent="0.45">
      <c r="A410" s="1">
        <v>45425</v>
      </c>
    </row>
    <row r="411" spans="1:1" x14ac:dyDescent="0.45">
      <c r="A411" s="1">
        <v>45426</v>
      </c>
    </row>
    <row r="412" spans="1:1" x14ac:dyDescent="0.45">
      <c r="A412" s="1">
        <v>45427</v>
      </c>
    </row>
    <row r="413" spans="1:1" x14ac:dyDescent="0.45">
      <c r="A413" s="1">
        <v>45428</v>
      </c>
    </row>
    <row r="414" spans="1:1" x14ac:dyDescent="0.45">
      <c r="A414" s="1">
        <v>45429</v>
      </c>
    </row>
    <row r="415" spans="1:1" x14ac:dyDescent="0.45">
      <c r="A415" s="1">
        <v>45430</v>
      </c>
    </row>
    <row r="416" spans="1:1" x14ac:dyDescent="0.45">
      <c r="A416" s="1">
        <v>45431</v>
      </c>
    </row>
    <row r="417" spans="1:1" x14ac:dyDescent="0.45">
      <c r="A417" s="1">
        <v>45432</v>
      </c>
    </row>
    <row r="418" spans="1:1" x14ac:dyDescent="0.45">
      <c r="A418" s="1">
        <v>45433</v>
      </c>
    </row>
    <row r="419" spans="1:1" x14ac:dyDescent="0.45">
      <c r="A419" s="1">
        <v>45434</v>
      </c>
    </row>
    <row r="420" spans="1:1" x14ac:dyDescent="0.45">
      <c r="A420" s="1">
        <v>45435</v>
      </c>
    </row>
    <row r="421" spans="1:1" x14ac:dyDescent="0.45">
      <c r="A421" s="1">
        <v>45436</v>
      </c>
    </row>
    <row r="422" spans="1:1" x14ac:dyDescent="0.45">
      <c r="A422" s="1">
        <v>45437</v>
      </c>
    </row>
    <row r="423" spans="1:1" x14ac:dyDescent="0.45">
      <c r="A423" s="1">
        <v>45438</v>
      </c>
    </row>
    <row r="424" spans="1:1" x14ac:dyDescent="0.45">
      <c r="A424" s="1">
        <v>45439</v>
      </c>
    </row>
    <row r="425" spans="1:1" x14ac:dyDescent="0.45">
      <c r="A425" s="1">
        <v>45440</v>
      </c>
    </row>
    <row r="426" spans="1:1" x14ac:dyDescent="0.45">
      <c r="A426" s="1">
        <v>45441</v>
      </c>
    </row>
    <row r="427" spans="1:1" x14ac:dyDescent="0.45">
      <c r="A427" s="1">
        <v>45442</v>
      </c>
    </row>
    <row r="428" spans="1:1" x14ac:dyDescent="0.45">
      <c r="A428" s="1">
        <v>45443</v>
      </c>
    </row>
    <row r="429" spans="1:1" x14ac:dyDescent="0.45">
      <c r="A429" s="1">
        <v>45444</v>
      </c>
    </row>
    <row r="430" spans="1:1" x14ac:dyDescent="0.45">
      <c r="A430" s="1">
        <v>45445</v>
      </c>
    </row>
    <row r="431" spans="1:1" x14ac:dyDescent="0.45">
      <c r="A431" s="1">
        <v>45446</v>
      </c>
    </row>
    <row r="432" spans="1:1" x14ac:dyDescent="0.45">
      <c r="A432" s="1">
        <v>45447</v>
      </c>
    </row>
    <row r="433" spans="1:1" x14ac:dyDescent="0.45">
      <c r="A433" s="1">
        <v>45448</v>
      </c>
    </row>
    <row r="434" spans="1:1" x14ac:dyDescent="0.45">
      <c r="A434" s="1">
        <v>45449</v>
      </c>
    </row>
    <row r="435" spans="1:1" x14ac:dyDescent="0.45">
      <c r="A435" s="1">
        <v>45450</v>
      </c>
    </row>
    <row r="436" spans="1:1" x14ac:dyDescent="0.45">
      <c r="A436" s="1">
        <v>45451</v>
      </c>
    </row>
    <row r="437" spans="1:1" x14ac:dyDescent="0.45">
      <c r="A437" s="1">
        <v>45452</v>
      </c>
    </row>
    <row r="438" spans="1:1" x14ac:dyDescent="0.45">
      <c r="A438" s="1">
        <v>45453</v>
      </c>
    </row>
    <row r="439" spans="1:1" x14ac:dyDescent="0.45">
      <c r="A439" s="1">
        <v>45454</v>
      </c>
    </row>
    <row r="440" spans="1:1" x14ac:dyDescent="0.45">
      <c r="A440" s="1">
        <v>45455</v>
      </c>
    </row>
    <row r="441" spans="1:1" x14ac:dyDescent="0.45">
      <c r="A441" s="1">
        <v>45456</v>
      </c>
    </row>
    <row r="442" spans="1:1" x14ac:dyDescent="0.45">
      <c r="A442" s="1">
        <v>45457</v>
      </c>
    </row>
    <row r="443" spans="1:1" x14ac:dyDescent="0.45">
      <c r="A443" s="1">
        <v>45458</v>
      </c>
    </row>
    <row r="444" spans="1:1" x14ac:dyDescent="0.45">
      <c r="A444" s="1">
        <v>45459</v>
      </c>
    </row>
    <row r="445" spans="1:1" x14ac:dyDescent="0.45">
      <c r="A445" s="1">
        <v>45460</v>
      </c>
    </row>
    <row r="446" spans="1:1" x14ac:dyDescent="0.45">
      <c r="A446" s="1">
        <v>45461</v>
      </c>
    </row>
    <row r="447" spans="1:1" x14ac:dyDescent="0.45">
      <c r="A447" s="1">
        <v>45462</v>
      </c>
    </row>
    <row r="448" spans="1:1" x14ac:dyDescent="0.45">
      <c r="A448" s="1">
        <v>45463</v>
      </c>
    </row>
    <row r="449" spans="1:1" x14ac:dyDescent="0.45">
      <c r="A449" s="1">
        <v>45464</v>
      </c>
    </row>
    <row r="450" spans="1:1" x14ac:dyDescent="0.45">
      <c r="A450" s="1">
        <v>45465</v>
      </c>
    </row>
    <row r="451" spans="1:1" x14ac:dyDescent="0.45">
      <c r="A451" s="1">
        <v>45466</v>
      </c>
    </row>
    <row r="452" spans="1:1" x14ac:dyDescent="0.45">
      <c r="A452" s="1">
        <v>45467</v>
      </c>
    </row>
    <row r="453" spans="1:1" x14ac:dyDescent="0.45">
      <c r="A453" s="1">
        <v>45468</v>
      </c>
    </row>
    <row r="454" spans="1:1" x14ac:dyDescent="0.45">
      <c r="A454" s="1">
        <v>45469</v>
      </c>
    </row>
    <row r="455" spans="1:1" x14ac:dyDescent="0.45">
      <c r="A455" s="1">
        <v>45470</v>
      </c>
    </row>
    <row r="456" spans="1:1" x14ac:dyDescent="0.45">
      <c r="A456" s="1">
        <v>45471</v>
      </c>
    </row>
    <row r="457" spans="1:1" x14ac:dyDescent="0.45">
      <c r="A457" s="1">
        <v>45472</v>
      </c>
    </row>
    <row r="458" spans="1:1" x14ac:dyDescent="0.45">
      <c r="A458" s="1">
        <v>45473</v>
      </c>
    </row>
    <row r="459" spans="1:1" x14ac:dyDescent="0.45">
      <c r="A459" s="1">
        <v>45474</v>
      </c>
    </row>
    <row r="460" spans="1:1" x14ac:dyDescent="0.45">
      <c r="A460" s="1">
        <v>45475</v>
      </c>
    </row>
    <row r="461" spans="1:1" x14ac:dyDescent="0.45">
      <c r="A461" s="1">
        <v>45476</v>
      </c>
    </row>
    <row r="462" spans="1:1" x14ac:dyDescent="0.45">
      <c r="A462" s="1">
        <v>45477</v>
      </c>
    </row>
    <row r="463" spans="1:1" x14ac:dyDescent="0.45">
      <c r="A463" s="1">
        <v>45478</v>
      </c>
    </row>
    <row r="464" spans="1:1" x14ac:dyDescent="0.45">
      <c r="A464" s="1">
        <v>45479</v>
      </c>
    </row>
    <row r="465" spans="1:1" x14ac:dyDescent="0.45">
      <c r="A465" s="1">
        <v>45480</v>
      </c>
    </row>
    <row r="466" spans="1:1" x14ac:dyDescent="0.45">
      <c r="A466" s="1">
        <v>45481</v>
      </c>
    </row>
    <row r="467" spans="1:1" x14ac:dyDescent="0.45">
      <c r="A467" s="1">
        <v>45482</v>
      </c>
    </row>
    <row r="468" spans="1:1" x14ac:dyDescent="0.45">
      <c r="A468" s="1">
        <v>45483</v>
      </c>
    </row>
    <row r="469" spans="1:1" x14ac:dyDescent="0.45">
      <c r="A469" s="1">
        <v>45484</v>
      </c>
    </row>
    <row r="470" spans="1:1" x14ac:dyDescent="0.45">
      <c r="A470" s="1">
        <v>45485</v>
      </c>
    </row>
    <row r="471" spans="1:1" x14ac:dyDescent="0.45">
      <c r="A471" s="1">
        <v>45486</v>
      </c>
    </row>
    <row r="472" spans="1:1" x14ac:dyDescent="0.45">
      <c r="A472" s="1">
        <v>45487</v>
      </c>
    </row>
    <row r="473" spans="1:1" x14ac:dyDescent="0.45">
      <c r="A473" s="1">
        <v>45488</v>
      </c>
    </row>
    <row r="474" spans="1:1" x14ac:dyDescent="0.45">
      <c r="A474" s="1">
        <v>45489</v>
      </c>
    </row>
    <row r="475" spans="1:1" x14ac:dyDescent="0.45">
      <c r="A475" s="1">
        <v>45490</v>
      </c>
    </row>
    <row r="476" spans="1:1" x14ac:dyDescent="0.45">
      <c r="A476" s="1">
        <v>45491</v>
      </c>
    </row>
    <row r="477" spans="1:1" x14ac:dyDescent="0.45">
      <c r="A477" s="1">
        <v>45492</v>
      </c>
    </row>
    <row r="478" spans="1:1" x14ac:dyDescent="0.45">
      <c r="A478" s="1">
        <v>45493</v>
      </c>
    </row>
    <row r="479" spans="1:1" x14ac:dyDescent="0.45">
      <c r="A479" s="1">
        <v>45494</v>
      </c>
    </row>
    <row r="480" spans="1:1" x14ac:dyDescent="0.45">
      <c r="A480" s="1">
        <v>45495</v>
      </c>
    </row>
    <row r="481" spans="1:1" x14ac:dyDescent="0.45">
      <c r="A481" s="1">
        <v>45496</v>
      </c>
    </row>
    <row r="482" spans="1:1" x14ac:dyDescent="0.45">
      <c r="A482" s="1">
        <v>45497</v>
      </c>
    </row>
    <row r="483" spans="1:1" x14ac:dyDescent="0.45">
      <c r="A483" s="1">
        <v>45498</v>
      </c>
    </row>
    <row r="484" spans="1:1" x14ac:dyDescent="0.45">
      <c r="A484" s="1">
        <v>45499</v>
      </c>
    </row>
    <row r="485" spans="1:1" x14ac:dyDescent="0.45">
      <c r="A485" s="1">
        <v>45500</v>
      </c>
    </row>
    <row r="486" spans="1:1" x14ac:dyDescent="0.45">
      <c r="A486" s="1">
        <v>45501</v>
      </c>
    </row>
    <row r="487" spans="1:1" x14ac:dyDescent="0.45">
      <c r="A487" s="1">
        <v>45502</v>
      </c>
    </row>
    <row r="488" spans="1:1" x14ac:dyDescent="0.45">
      <c r="A488" s="1">
        <v>45503</v>
      </c>
    </row>
    <row r="489" spans="1:1" x14ac:dyDescent="0.45">
      <c r="A489" s="1">
        <v>45504</v>
      </c>
    </row>
    <row r="490" spans="1:1" x14ac:dyDescent="0.45">
      <c r="A490" s="1">
        <v>45505</v>
      </c>
    </row>
    <row r="491" spans="1:1" x14ac:dyDescent="0.45">
      <c r="A491" s="1">
        <v>45506</v>
      </c>
    </row>
    <row r="492" spans="1:1" x14ac:dyDescent="0.45">
      <c r="A492" s="1">
        <v>45507</v>
      </c>
    </row>
    <row r="493" spans="1:1" x14ac:dyDescent="0.45">
      <c r="A493" s="1">
        <v>45508</v>
      </c>
    </row>
    <row r="494" spans="1:1" x14ac:dyDescent="0.45">
      <c r="A494" s="1">
        <v>45509</v>
      </c>
    </row>
    <row r="495" spans="1:1" x14ac:dyDescent="0.45">
      <c r="A495" s="1">
        <v>45510</v>
      </c>
    </row>
    <row r="496" spans="1:1" x14ac:dyDescent="0.45">
      <c r="A496" s="1">
        <v>45511</v>
      </c>
    </row>
    <row r="497" spans="1:1" x14ac:dyDescent="0.45">
      <c r="A497" s="1">
        <v>45512</v>
      </c>
    </row>
    <row r="498" spans="1:1" x14ac:dyDescent="0.45">
      <c r="A498" s="1">
        <v>45513</v>
      </c>
    </row>
    <row r="499" spans="1:1" x14ac:dyDescent="0.45">
      <c r="A499" s="1">
        <v>45514</v>
      </c>
    </row>
    <row r="500" spans="1:1" x14ac:dyDescent="0.45">
      <c r="A500" s="1">
        <v>45515</v>
      </c>
    </row>
    <row r="501" spans="1:1" x14ac:dyDescent="0.45">
      <c r="A501" s="1">
        <v>45516</v>
      </c>
    </row>
    <row r="502" spans="1:1" x14ac:dyDescent="0.45">
      <c r="A502" s="1">
        <v>45517</v>
      </c>
    </row>
    <row r="503" spans="1:1" x14ac:dyDescent="0.45">
      <c r="A503" s="1">
        <v>45518</v>
      </c>
    </row>
    <row r="504" spans="1:1" x14ac:dyDescent="0.45">
      <c r="A504" s="1">
        <v>45519</v>
      </c>
    </row>
    <row r="505" spans="1:1" x14ac:dyDescent="0.45">
      <c r="A505" s="1">
        <v>45520</v>
      </c>
    </row>
    <row r="506" spans="1:1" x14ac:dyDescent="0.45">
      <c r="A506" s="1">
        <v>45521</v>
      </c>
    </row>
    <row r="507" spans="1:1" x14ac:dyDescent="0.45">
      <c r="A507" s="1">
        <v>45522</v>
      </c>
    </row>
    <row r="508" spans="1:1" x14ac:dyDescent="0.45">
      <c r="A508" s="1">
        <v>45523</v>
      </c>
    </row>
    <row r="509" spans="1:1" x14ac:dyDescent="0.45">
      <c r="A509" s="1">
        <v>45524</v>
      </c>
    </row>
    <row r="510" spans="1:1" x14ac:dyDescent="0.45">
      <c r="A510" s="1">
        <v>45525</v>
      </c>
    </row>
    <row r="511" spans="1:1" x14ac:dyDescent="0.45">
      <c r="A511" s="1">
        <v>45526</v>
      </c>
    </row>
    <row r="512" spans="1:1" x14ac:dyDescent="0.45">
      <c r="A512" s="1">
        <v>45527</v>
      </c>
    </row>
    <row r="513" spans="1:1" x14ac:dyDescent="0.45">
      <c r="A513" s="1">
        <v>45528</v>
      </c>
    </row>
    <row r="514" spans="1:1" x14ac:dyDescent="0.45">
      <c r="A514" s="1">
        <v>45529</v>
      </c>
    </row>
    <row r="515" spans="1:1" x14ac:dyDescent="0.45">
      <c r="A515" s="1">
        <v>45530</v>
      </c>
    </row>
    <row r="516" spans="1:1" x14ac:dyDescent="0.45">
      <c r="A516" s="1">
        <v>45531</v>
      </c>
    </row>
    <row r="517" spans="1:1" x14ac:dyDescent="0.45">
      <c r="A517" s="1">
        <v>45532</v>
      </c>
    </row>
    <row r="518" spans="1:1" x14ac:dyDescent="0.45">
      <c r="A518" s="1">
        <v>45533</v>
      </c>
    </row>
    <row r="519" spans="1:1" x14ac:dyDescent="0.45">
      <c r="A519" s="1">
        <v>45534</v>
      </c>
    </row>
    <row r="520" spans="1:1" x14ac:dyDescent="0.45">
      <c r="A520" s="1">
        <v>45535</v>
      </c>
    </row>
    <row r="521" spans="1:1" x14ac:dyDescent="0.45">
      <c r="A521" s="1">
        <v>45536</v>
      </c>
    </row>
    <row r="522" spans="1:1" x14ac:dyDescent="0.45">
      <c r="A522" s="1">
        <v>45537</v>
      </c>
    </row>
    <row r="523" spans="1:1" x14ac:dyDescent="0.45">
      <c r="A523" s="1">
        <v>45538</v>
      </c>
    </row>
    <row r="524" spans="1:1" x14ac:dyDescent="0.45">
      <c r="A524" s="1">
        <v>45539</v>
      </c>
    </row>
    <row r="525" spans="1:1" x14ac:dyDescent="0.45">
      <c r="A525" s="1">
        <v>45540</v>
      </c>
    </row>
    <row r="526" spans="1:1" x14ac:dyDescent="0.45">
      <c r="A526" s="1">
        <v>45541</v>
      </c>
    </row>
    <row r="527" spans="1:1" x14ac:dyDescent="0.45">
      <c r="A527" s="1">
        <v>45542</v>
      </c>
    </row>
    <row r="528" spans="1:1" x14ac:dyDescent="0.45">
      <c r="A528" s="1">
        <v>45543</v>
      </c>
    </row>
    <row r="529" spans="1:1" x14ac:dyDescent="0.45">
      <c r="A529" s="1">
        <v>45544</v>
      </c>
    </row>
    <row r="530" spans="1:1" x14ac:dyDescent="0.45">
      <c r="A530" s="1">
        <v>45545</v>
      </c>
    </row>
    <row r="531" spans="1:1" x14ac:dyDescent="0.45">
      <c r="A531" s="1">
        <v>45546</v>
      </c>
    </row>
    <row r="532" spans="1:1" x14ac:dyDescent="0.45">
      <c r="A532" s="1">
        <v>45547</v>
      </c>
    </row>
    <row r="533" spans="1:1" x14ac:dyDescent="0.45">
      <c r="A533" s="1">
        <v>45548</v>
      </c>
    </row>
    <row r="534" spans="1:1" x14ac:dyDescent="0.45">
      <c r="A534" s="1">
        <v>45549</v>
      </c>
    </row>
    <row r="535" spans="1:1" x14ac:dyDescent="0.45">
      <c r="A535" s="1">
        <v>45550</v>
      </c>
    </row>
    <row r="536" spans="1:1" x14ac:dyDescent="0.45">
      <c r="A536" s="1">
        <v>45551</v>
      </c>
    </row>
    <row r="537" spans="1:1" x14ac:dyDescent="0.45">
      <c r="A537" s="1">
        <v>45552</v>
      </c>
    </row>
    <row r="538" spans="1:1" x14ac:dyDescent="0.45">
      <c r="A538" s="1">
        <v>45553</v>
      </c>
    </row>
    <row r="539" spans="1:1" x14ac:dyDescent="0.45">
      <c r="A539" s="1">
        <v>45554</v>
      </c>
    </row>
    <row r="540" spans="1:1" x14ac:dyDescent="0.45">
      <c r="A540" s="1">
        <v>45555</v>
      </c>
    </row>
    <row r="541" spans="1:1" x14ac:dyDescent="0.45">
      <c r="A541" s="1">
        <v>45556</v>
      </c>
    </row>
    <row r="542" spans="1:1" x14ac:dyDescent="0.45">
      <c r="A542" s="1">
        <v>45557</v>
      </c>
    </row>
    <row r="543" spans="1:1" x14ac:dyDescent="0.45">
      <c r="A543" s="1">
        <v>45558</v>
      </c>
    </row>
    <row r="544" spans="1:1" x14ac:dyDescent="0.45">
      <c r="A544" s="1">
        <v>45559</v>
      </c>
    </row>
    <row r="545" spans="1:1" x14ac:dyDescent="0.45">
      <c r="A545" s="1">
        <v>45560</v>
      </c>
    </row>
    <row r="546" spans="1:1" x14ac:dyDescent="0.45">
      <c r="A546" s="1">
        <v>45561</v>
      </c>
    </row>
    <row r="547" spans="1:1" x14ac:dyDescent="0.45">
      <c r="A547" s="1">
        <v>45562</v>
      </c>
    </row>
    <row r="548" spans="1:1" x14ac:dyDescent="0.45">
      <c r="A548" s="1">
        <v>45563</v>
      </c>
    </row>
    <row r="549" spans="1:1" x14ac:dyDescent="0.45">
      <c r="A549" s="1">
        <v>45564</v>
      </c>
    </row>
    <row r="550" spans="1:1" x14ac:dyDescent="0.45">
      <c r="A550" s="1">
        <v>45565</v>
      </c>
    </row>
    <row r="551" spans="1:1" x14ac:dyDescent="0.45">
      <c r="A551" s="1">
        <v>45566</v>
      </c>
    </row>
    <row r="552" spans="1:1" x14ac:dyDescent="0.45">
      <c r="A552" s="1">
        <v>45567</v>
      </c>
    </row>
    <row r="553" spans="1:1" x14ac:dyDescent="0.45">
      <c r="A553" s="1">
        <v>45568</v>
      </c>
    </row>
    <row r="554" spans="1:1" x14ac:dyDescent="0.45">
      <c r="A554" s="1">
        <v>45569</v>
      </c>
    </row>
    <row r="555" spans="1:1" x14ac:dyDescent="0.45">
      <c r="A555" s="1">
        <v>45570</v>
      </c>
    </row>
    <row r="556" spans="1:1" x14ac:dyDescent="0.45">
      <c r="A556" s="1">
        <v>45571</v>
      </c>
    </row>
    <row r="557" spans="1:1" x14ac:dyDescent="0.45">
      <c r="A557" s="1">
        <v>45572</v>
      </c>
    </row>
    <row r="558" spans="1:1" x14ac:dyDescent="0.45">
      <c r="A558" s="1">
        <v>45573</v>
      </c>
    </row>
    <row r="559" spans="1:1" x14ac:dyDescent="0.45">
      <c r="A559" s="1">
        <v>45574</v>
      </c>
    </row>
    <row r="560" spans="1:1" x14ac:dyDescent="0.45">
      <c r="A560" s="1">
        <v>45575</v>
      </c>
    </row>
    <row r="561" spans="1:1" x14ac:dyDescent="0.45">
      <c r="A561" s="1">
        <v>45576</v>
      </c>
    </row>
    <row r="562" spans="1:1" x14ac:dyDescent="0.45">
      <c r="A562" s="1">
        <v>45577</v>
      </c>
    </row>
    <row r="563" spans="1:1" x14ac:dyDescent="0.45">
      <c r="A563" s="1">
        <v>45578</v>
      </c>
    </row>
    <row r="564" spans="1:1" x14ac:dyDescent="0.45">
      <c r="A564" s="1">
        <v>45579</v>
      </c>
    </row>
    <row r="565" spans="1:1" x14ac:dyDescent="0.45">
      <c r="A565" s="1">
        <v>45580</v>
      </c>
    </row>
    <row r="566" spans="1:1" x14ac:dyDescent="0.45">
      <c r="A566" s="1">
        <v>45581</v>
      </c>
    </row>
    <row r="567" spans="1:1" x14ac:dyDescent="0.45">
      <c r="A567" s="1">
        <v>45582</v>
      </c>
    </row>
    <row r="568" spans="1:1" x14ac:dyDescent="0.45">
      <c r="A568" s="1">
        <v>45583</v>
      </c>
    </row>
    <row r="569" spans="1:1" x14ac:dyDescent="0.45">
      <c r="A569" s="1">
        <v>45584</v>
      </c>
    </row>
    <row r="570" spans="1:1" x14ac:dyDescent="0.45">
      <c r="A570" s="1">
        <v>45585</v>
      </c>
    </row>
    <row r="571" spans="1:1" x14ac:dyDescent="0.45">
      <c r="A571" s="1">
        <v>45586</v>
      </c>
    </row>
    <row r="572" spans="1:1" x14ac:dyDescent="0.45">
      <c r="A572" s="1">
        <v>45587</v>
      </c>
    </row>
    <row r="573" spans="1:1" x14ac:dyDescent="0.45">
      <c r="A573" s="1">
        <v>45588</v>
      </c>
    </row>
    <row r="574" spans="1:1" x14ac:dyDescent="0.45">
      <c r="A574" s="1">
        <v>45589</v>
      </c>
    </row>
    <row r="575" spans="1:1" x14ac:dyDescent="0.45">
      <c r="A575" s="1">
        <v>45590</v>
      </c>
    </row>
    <row r="576" spans="1:1" x14ac:dyDescent="0.45">
      <c r="A576" s="1">
        <v>45591</v>
      </c>
    </row>
    <row r="577" spans="1:1" x14ac:dyDescent="0.45">
      <c r="A577" s="1">
        <v>45592</v>
      </c>
    </row>
    <row r="578" spans="1:1" x14ac:dyDescent="0.45">
      <c r="A578" s="1">
        <v>45593</v>
      </c>
    </row>
    <row r="579" spans="1:1" x14ac:dyDescent="0.45">
      <c r="A579" s="1">
        <v>45594</v>
      </c>
    </row>
    <row r="580" spans="1:1" x14ac:dyDescent="0.45">
      <c r="A580" s="1">
        <v>45595</v>
      </c>
    </row>
    <row r="581" spans="1:1" x14ac:dyDescent="0.45">
      <c r="A581" s="1">
        <v>45596</v>
      </c>
    </row>
    <row r="582" spans="1:1" x14ac:dyDescent="0.45">
      <c r="A582" s="1">
        <v>45597</v>
      </c>
    </row>
    <row r="583" spans="1:1" x14ac:dyDescent="0.45">
      <c r="A583" s="1">
        <v>45598</v>
      </c>
    </row>
    <row r="584" spans="1:1" x14ac:dyDescent="0.45">
      <c r="A584" s="1">
        <v>45599</v>
      </c>
    </row>
    <row r="585" spans="1:1" x14ac:dyDescent="0.45">
      <c r="A585" s="1">
        <v>45600</v>
      </c>
    </row>
    <row r="586" spans="1:1" x14ac:dyDescent="0.45">
      <c r="A586" s="1">
        <v>45601</v>
      </c>
    </row>
    <row r="587" spans="1:1" x14ac:dyDescent="0.45">
      <c r="A587" s="1">
        <v>45602</v>
      </c>
    </row>
    <row r="588" spans="1:1" x14ac:dyDescent="0.45">
      <c r="A588" s="1">
        <v>45603</v>
      </c>
    </row>
    <row r="589" spans="1:1" x14ac:dyDescent="0.45">
      <c r="A589" s="1">
        <v>45604</v>
      </c>
    </row>
    <row r="590" spans="1:1" x14ac:dyDescent="0.45">
      <c r="A590" s="1">
        <v>45605</v>
      </c>
    </row>
    <row r="591" spans="1:1" x14ac:dyDescent="0.45">
      <c r="A591" s="1">
        <v>45606</v>
      </c>
    </row>
    <row r="592" spans="1:1" x14ac:dyDescent="0.45">
      <c r="A592" s="1">
        <v>45607</v>
      </c>
    </row>
    <row r="593" spans="1:1" x14ac:dyDescent="0.45">
      <c r="A593" s="1">
        <v>45608</v>
      </c>
    </row>
    <row r="594" spans="1:1" x14ac:dyDescent="0.45">
      <c r="A594" s="1">
        <v>45609</v>
      </c>
    </row>
    <row r="595" spans="1:1" x14ac:dyDescent="0.45">
      <c r="A595" s="1">
        <v>45610</v>
      </c>
    </row>
    <row r="596" spans="1:1" x14ac:dyDescent="0.45">
      <c r="A596" s="1">
        <v>45611</v>
      </c>
    </row>
    <row r="597" spans="1:1" x14ac:dyDescent="0.45">
      <c r="A597" s="1">
        <v>45612</v>
      </c>
    </row>
    <row r="598" spans="1:1" x14ac:dyDescent="0.45">
      <c r="A598" s="1">
        <v>45613</v>
      </c>
    </row>
    <row r="599" spans="1:1" x14ac:dyDescent="0.45">
      <c r="A599" s="1">
        <v>45614</v>
      </c>
    </row>
    <row r="600" spans="1:1" x14ac:dyDescent="0.45">
      <c r="A600" s="1">
        <v>45615</v>
      </c>
    </row>
    <row r="601" spans="1:1" x14ac:dyDescent="0.45">
      <c r="A601" s="1">
        <v>45616</v>
      </c>
    </row>
    <row r="602" spans="1:1" x14ac:dyDescent="0.45">
      <c r="A602" s="1">
        <v>45617</v>
      </c>
    </row>
    <row r="603" spans="1:1" x14ac:dyDescent="0.45">
      <c r="A603" s="1">
        <v>45618</v>
      </c>
    </row>
    <row r="604" spans="1:1" x14ac:dyDescent="0.45">
      <c r="A604" s="1">
        <v>45619</v>
      </c>
    </row>
    <row r="605" spans="1:1" x14ac:dyDescent="0.45">
      <c r="A605" s="1">
        <v>45620</v>
      </c>
    </row>
    <row r="606" spans="1:1" x14ac:dyDescent="0.45">
      <c r="A606" s="1">
        <v>45621</v>
      </c>
    </row>
    <row r="607" spans="1:1" x14ac:dyDescent="0.45">
      <c r="A607" s="1">
        <v>45622</v>
      </c>
    </row>
    <row r="608" spans="1:1" x14ac:dyDescent="0.45">
      <c r="A608" s="1">
        <v>45623</v>
      </c>
    </row>
    <row r="609" spans="1:1" x14ac:dyDescent="0.45">
      <c r="A609" s="1">
        <v>45624</v>
      </c>
    </row>
    <row r="610" spans="1:1" x14ac:dyDescent="0.45">
      <c r="A610" s="1">
        <v>45625</v>
      </c>
    </row>
    <row r="611" spans="1:1" x14ac:dyDescent="0.45">
      <c r="A611" s="1">
        <v>45626</v>
      </c>
    </row>
    <row r="612" spans="1:1" x14ac:dyDescent="0.45">
      <c r="A612" s="1">
        <v>45627</v>
      </c>
    </row>
    <row r="613" spans="1:1" x14ac:dyDescent="0.45">
      <c r="A613" s="1">
        <v>45628</v>
      </c>
    </row>
    <row r="614" spans="1:1" x14ac:dyDescent="0.45">
      <c r="A614" s="1">
        <v>45629</v>
      </c>
    </row>
    <row r="615" spans="1:1" x14ac:dyDescent="0.45">
      <c r="A615" s="1">
        <v>45630</v>
      </c>
    </row>
    <row r="616" spans="1:1" x14ac:dyDescent="0.45">
      <c r="A616" s="1">
        <v>45631</v>
      </c>
    </row>
    <row r="617" spans="1:1" x14ac:dyDescent="0.45">
      <c r="A617" s="1">
        <v>45632</v>
      </c>
    </row>
    <row r="618" spans="1:1" x14ac:dyDescent="0.45">
      <c r="A618" s="1">
        <v>45633</v>
      </c>
    </row>
    <row r="619" spans="1:1" x14ac:dyDescent="0.45">
      <c r="A619" s="1">
        <v>45634</v>
      </c>
    </row>
    <row r="620" spans="1:1" x14ac:dyDescent="0.45">
      <c r="A620" s="1">
        <v>45635</v>
      </c>
    </row>
    <row r="621" spans="1:1" x14ac:dyDescent="0.45">
      <c r="A621" s="1">
        <v>45636</v>
      </c>
    </row>
    <row r="622" spans="1:1" x14ac:dyDescent="0.45">
      <c r="A622" s="1">
        <v>45637</v>
      </c>
    </row>
    <row r="623" spans="1:1" x14ac:dyDescent="0.45">
      <c r="A623" s="1">
        <v>45638</v>
      </c>
    </row>
    <row r="624" spans="1:1" x14ac:dyDescent="0.45">
      <c r="A624" s="1">
        <v>45639</v>
      </c>
    </row>
    <row r="625" spans="1:1" x14ac:dyDescent="0.45">
      <c r="A625" s="1">
        <v>45640</v>
      </c>
    </row>
    <row r="626" spans="1:1" x14ac:dyDescent="0.45">
      <c r="A626" s="1">
        <v>45641</v>
      </c>
    </row>
    <row r="627" spans="1:1" x14ac:dyDescent="0.45">
      <c r="A627" s="1">
        <v>45642</v>
      </c>
    </row>
    <row r="628" spans="1:1" x14ac:dyDescent="0.45">
      <c r="A628" s="1">
        <v>45643</v>
      </c>
    </row>
    <row r="629" spans="1:1" x14ac:dyDescent="0.45">
      <c r="A629" s="1">
        <v>45644</v>
      </c>
    </row>
    <row r="630" spans="1:1" x14ac:dyDescent="0.45">
      <c r="A630" s="1">
        <v>45645</v>
      </c>
    </row>
    <row r="631" spans="1:1" x14ac:dyDescent="0.45">
      <c r="A631" s="1">
        <v>45646</v>
      </c>
    </row>
    <row r="632" spans="1:1" x14ac:dyDescent="0.45">
      <c r="A632" s="1">
        <v>45647</v>
      </c>
    </row>
    <row r="633" spans="1:1" x14ac:dyDescent="0.45">
      <c r="A633" s="1">
        <v>45648</v>
      </c>
    </row>
    <row r="634" spans="1:1" x14ac:dyDescent="0.45">
      <c r="A634" s="1">
        <v>45649</v>
      </c>
    </row>
    <row r="635" spans="1:1" x14ac:dyDescent="0.45">
      <c r="A635" s="1">
        <v>45650</v>
      </c>
    </row>
    <row r="636" spans="1:1" x14ac:dyDescent="0.45">
      <c r="A636" s="1">
        <v>45651</v>
      </c>
    </row>
    <row r="637" spans="1:1" x14ac:dyDescent="0.45">
      <c r="A637" s="1">
        <v>45652</v>
      </c>
    </row>
    <row r="638" spans="1:1" x14ac:dyDescent="0.45">
      <c r="A638" s="1">
        <v>45653</v>
      </c>
    </row>
    <row r="639" spans="1:1" x14ac:dyDescent="0.45">
      <c r="A639" s="1">
        <v>45654</v>
      </c>
    </row>
    <row r="640" spans="1:1" x14ac:dyDescent="0.45">
      <c r="A640" s="1">
        <v>45655</v>
      </c>
    </row>
    <row r="641" spans="1:1" x14ac:dyDescent="0.45">
      <c r="A641" s="1">
        <v>45656</v>
      </c>
    </row>
    <row r="642" spans="1:1" x14ac:dyDescent="0.45">
      <c r="A642" s="1">
        <v>45657</v>
      </c>
    </row>
    <row r="643" spans="1:1" x14ac:dyDescent="0.45">
      <c r="A643" s="1">
        <v>45658</v>
      </c>
    </row>
    <row r="644" spans="1:1" x14ac:dyDescent="0.45">
      <c r="A644" s="1">
        <v>45659</v>
      </c>
    </row>
    <row r="645" spans="1:1" x14ac:dyDescent="0.45">
      <c r="A645" s="1">
        <v>45660</v>
      </c>
    </row>
    <row r="646" spans="1:1" x14ac:dyDescent="0.45">
      <c r="A646" s="1">
        <v>45661</v>
      </c>
    </row>
    <row r="647" spans="1:1" x14ac:dyDescent="0.45">
      <c r="A647" s="1">
        <v>45662</v>
      </c>
    </row>
    <row r="648" spans="1:1" x14ac:dyDescent="0.45">
      <c r="A648" s="1">
        <v>45663</v>
      </c>
    </row>
    <row r="649" spans="1:1" x14ac:dyDescent="0.45">
      <c r="A649" s="1">
        <v>45664</v>
      </c>
    </row>
    <row r="650" spans="1:1" x14ac:dyDescent="0.45">
      <c r="A650" s="1">
        <v>45665</v>
      </c>
    </row>
    <row r="651" spans="1:1" x14ac:dyDescent="0.45">
      <c r="A651" s="1">
        <v>45666</v>
      </c>
    </row>
    <row r="652" spans="1:1" x14ac:dyDescent="0.45">
      <c r="A652" s="1">
        <v>45667</v>
      </c>
    </row>
    <row r="653" spans="1:1" x14ac:dyDescent="0.45">
      <c r="A653" s="1">
        <v>45668</v>
      </c>
    </row>
    <row r="654" spans="1:1" x14ac:dyDescent="0.45">
      <c r="A654" s="1">
        <v>45669</v>
      </c>
    </row>
    <row r="655" spans="1:1" x14ac:dyDescent="0.45">
      <c r="A655" s="1">
        <v>45670</v>
      </c>
    </row>
    <row r="656" spans="1:1" x14ac:dyDescent="0.45">
      <c r="A656" s="1">
        <v>45671</v>
      </c>
    </row>
    <row r="657" spans="1:1" x14ac:dyDescent="0.45">
      <c r="A657" s="1">
        <v>45672</v>
      </c>
    </row>
    <row r="658" spans="1:1" x14ac:dyDescent="0.45">
      <c r="A658" s="1">
        <v>45673</v>
      </c>
    </row>
    <row r="659" spans="1:1" x14ac:dyDescent="0.45">
      <c r="A659" s="1">
        <v>45674</v>
      </c>
    </row>
    <row r="660" spans="1:1" x14ac:dyDescent="0.45">
      <c r="A660" s="1">
        <v>45675</v>
      </c>
    </row>
    <row r="661" spans="1:1" x14ac:dyDescent="0.45">
      <c r="A661" s="1">
        <v>45676</v>
      </c>
    </row>
    <row r="662" spans="1:1" x14ac:dyDescent="0.45">
      <c r="A662" s="1">
        <v>45677</v>
      </c>
    </row>
    <row r="663" spans="1:1" x14ac:dyDescent="0.45">
      <c r="A663" s="1">
        <v>45678</v>
      </c>
    </row>
    <row r="664" spans="1:1" x14ac:dyDescent="0.45">
      <c r="A664" s="1">
        <v>45679</v>
      </c>
    </row>
    <row r="665" spans="1:1" x14ac:dyDescent="0.45">
      <c r="A665" s="1">
        <v>45680</v>
      </c>
    </row>
    <row r="666" spans="1:1" x14ac:dyDescent="0.45">
      <c r="A666" s="1">
        <v>45681</v>
      </c>
    </row>
    <row r="667" spans="1:1" x14ac:dyDescent="0.45">
      <c r="A667" s="1">
        <v>45682</v>
      </c>
    </row>
    <row r="668" spans="1:1" x14ac:dyDescent="0.45">
      <c r="A668" s="1">
        <v>45683</v>
      </c>
    </row>
    <row r="669" spans="1:1" x14ac:dyDescent="0.45">
      <c r="A669" s="1">
        <v>45684</v>
      </c>
    </row>
    <row r="670" spans="1:1" x14ac:dyDescent="0.45">
      <c r="A670" s="1">
        <v>45685</v>
      </c>
    </row>
    <row r="671" spans="1:1" x14ac:dyDescent="0.45">
      <c r="A671" s="1">
        <v>45686</v>
      </c>
    </row>
    <row r="672" spans="1:1" x14ac:dyDescent="0.45">
      <c r="A672" s="1">
        <v>45687</v>
      </c>
    </row>
    <row r="673" spans="1:1" x14ac:dyDescent="0.45">
      <c r="A673" s="1">
        <v>45688</v>
      </c>
    </row>
    <row r="674" spans="1:1" x14ac:dyDescent="0.45">
      <c r="A674" s="1">
        <v>45689</v>
      </c>
    </row>
    <row r="675" spans="1:1" x14ac:dyDescent="0.45">
      <c r="A675" s="1">
        <v>45690</v>
      </c>
    </row>
    <row r="676" spans="1:1" x14ac:dyDescent="0.45">
      <c r="A676" s="1">
        <v>45691</v>
      </c>
    </row>
    <row r="677" spans="1:1" x14ac:dyDescent="0.45">
      <c r="A677" s="1">
        <v>45692</v>
      </c>
    </row>
    <row r="678" spans="1:1" x14ac:dyDescent="0.45">
      <c r="A678" s="1">
        <v>45693</v>
      </c>
    </row>
    <row r="679" spans="1:1" x14ac:dyDescent="0.45">
      <c r="A679" s="1">
        <v>45694</v>
      </c>
    </row>
    <row r="680" spans="1:1" x14ac:dyDescent="0.45">
      <c r="A680" s="1">
        <v>45695</v>
      </c>
    </row>
    <row r="681" spans="1:1" x14ac:dyDescent="0.45">
      <c r="A681" s="1">
        <v>45696</v>
      </c>
    </row>
    <row r="682" spans="1:1" x14ac:dyDescent="0.45">
      <c r="A682" s="1">
        <v>45697</v>
      </c>
    </row>
    <row r="683" spans="1:1" x14ac:dyDescent="0.45">
      <c r="A683" s="1">
        <v>45698</v>
      </c>
    </row>
    <row r="684" spans="1:1" x14ac:dyDescent="0.45">
      <c r="A684" s="1">
        <v>45699</v>
      </c>
    </row>
    <row r="685" spans="1:1" x14ac:dyDescent="0.45">
      <c r="A685" s="1">
        <v>45700</v>
      </c>
    </row>
    <row r="686" spans="1:1" x14ac:dyDescent="0.45">
      <c r="A686" s="1">
        <v>45701</v>
      </c>
    </row>
    <row r="687" spans="1:1" x14ac:dyDescent="0.45">
      <c r="A687" s="1">
        <v>45702</v>
      </c>
    </row>
    <row r="688" spans="1:1" x14ac:dyDescent="0.45">
      <c r="A688" s="1">
        <v>45703</v>
      </c>
    </row>
    <row r="689" spans="1:1" x14ac:dyDescent="0.45">
      <c r="A689" s="1">
        <v>45704</v>
      </c>
    </row>
    <row r="690" spans="1:1" x14ac:dyDescent="0.45">
      <c r="A690" s="1">
        <v>45705</v>
      </c>
    </row>
    <row r="691" spans="1:1" x14ac:dyDescent="0.45">
      <c r="A691" s="1">
        <v>45706</v>
      </c>
    </row>
    <row r="692" spans="1:1" x14ac:dyDescent="0.45">
      <c r="A692" s="1">
        <v>45707</v>
      </c>
    </row>
    <row r="693" spans="1:1" x14ac:dyDescent="0.45">
      <c r="A693" s="1">
        <v>45708</v>
      </c>
    </row>
    <row r="694" spans="1:1" x14ac:dyDescent="0.45">
      <c r="A694" s="1">
        <v>45709</v>
      </c>
    </row>
    <row r="695" spans="1:1" x14ac:dyDescent="0.45">
      <c r="A695" s="1">
        <v>45710</v>
      </c>
    </row>
    <row r="696" spans="1:1" x14ac:dyDescent="0.45">
      <c r="A696" s="1">
        <v>45711</v>
      </c>
    </row>
    <row r="697" spans="1:1" x14ac:dyDescent="0.45">
      <c r="A697" s="1">
        <v>45712</v>
      </c>
    </row>
    <row r="698" spans="1:1" x14ac:dyDescent="0.45">
      <c r="A698" s="1">
        <v>45713</v>
      </c>
    </row>
    <row r="699" spans="1:1" x14ac:dyDescent="0.45">
      <c r="A699" s="1">
        <v>45714</v>
      </c>
    </row>
    <row r="700" spans="1:1" x14ac:dyDescent="0.45">
      <c r="A700" s="1">
        <v>45715</v>
      </c>
    </row>
    <row r="701" spans="1:1" x14ac:dyDescent="0.45">
      <c r="A701" s="1">
        <v>45716</v>
      </c>
    </row>
    <row r="702" spans="1:1" x14ac:dyDescent="0.45">
      <c r="A702" s="1">
        <v>45717</v>
      </c>
    </row>
    <row r="703" spans="1:1" x14ac:dyDescent="0.45">
      <c r="A703" s="1">
        <v>45718</v>
      </c>
    </row>
    <row r="704" spans="1:1" x14ac:dyDescent="0.45">
      <c r="A704" s="1">
        <v>45719</v>
      </c>
    </row>
    <row r="705" spans="1:1" x14ac:dyDescent="0.45">
      <c r="A705" s="1">
        <v>45720</v>
      </c>
    </row>
    <row r="706" spans="1:1" x14ac:dyDescent="0.45">
      <c r="A706" s="1">
        <v>45721</v>
      </c>
    </row>
    <row r="707" spans="1:1" x14ac:dyDescent="0.45">
      <c r="A707" s="1">
        <v>45722</v>
      </c>
    </row>
    <row r="708" spans="1:1" x14ac:dyDescent="0.45">
      <c r="A708" s="1">
        <v>45723</v>
      </c>
    </row>
    <row r="709" spans="1:1" x14ac:dyDescent="0.45">
      <c r="A709" s="1">
        <v>45724</v>
      </c>
    </row>
    <row r="710" spans="1:1" x14ac:dyDescent="0.45">
      <c r="A710" s="1">
        <v>45725</v>
      </c>
    </row>
    <row r="711" spans="1:1" x14ac:dyDescent="0.45">
      <c r="A711" s="1">
        <v>45726</v>
      </c>
    </row>
    <row r="712" spans="1:1" x14ac:dyDescent="0.45">
      <c r="A712" s="1">
        <v>45727</v>
      </c>
    </row>
    <row r="713" spans="1:1" x14ac:dyDescent="0.45">
      <c r="A713" s="1">
        <v>45728</v>
      </c>
    </row>
    <row r="714" spans="1:1" x14ac:dyDescent="0.45">
      <c r="A714" s="1">
        <v>45729</v>
      </c>
    </row>
    <row r="715" spans="1:1" x14ac:dyDescent="0.45">
      <c r="A715" s="1">
        <v>45730</v>
      </c>
    </row>
    <row r="716" spans="1:1" x14ac:dyDescent="0.45">
      <c r="A716" s="1">
        <v>45731</v>
      </c>
    </row>
    <row r="717" spans="1:1" x14ac:dyDescent="0.45">
      <c r="A717" s="1">
        <v>45732</v>
      </c>
    </row>
    <row r="718" spans="1:1" x14ac:dyDescent="0.45">
      <c r="A718" s="1">
        <v>45733</v>
      </c>
    </row>
    <row r="719" spans="1:1" x14ac:dyDescent="0.45">
      <c r="A719" s="1">
        <v>45734</v>
      </c>
    </row>
    <row r="720" spans="1:1" x14ac:dyDescent="0.45">
      <c r="A720" s="1">
        <v>45735</v>
      </c>
    </row>
    <row r="721" spans="1:1" x14ac:dyDescent="0.45">
      <c r="A721" s="1">
        <v>45736</v>
      </c>
    </row>
    <row r="722" spans="1:1" x14ac:dyDescent="0.45">
      <c r="A722" s="1">
        <v>45737</v>
      </c>
    </row>
    <row r="723" spans="1:1" x14ac:dyDescent="0.45">
      <c r="A723" s="1">
        <v>45738</v>
      </c>
    </row>
    <row r="724" spans="1:1" x14ac:dyDescent="0.45">
      <c r="A724" s="1">
        <v>45739</v>
      </c>
    </row>
    <row r="725" spans="1:1" x14ac:dyDescent="0.45">
      <c r="A725" s="1">
        <v>45740</v>
      </c>
    </row>
    <row r="726" spans="1:1" x14ac:dyDescent="0.45">
      <c r="A726" s="1">
        <v>45741</v>
      </c>
    </row>
    <row r="727" spans="1:1" x14ac:dyDescent="0.45">
      <c r="A727" s="1">
        <v>45742</v>
      </c>
    </row>
    <row r="728" spans="1:1" x14ac:dyDescent="0.45">
      <c r="A728" s="1">
        <v>45743</v>
      </c>
    </row>
    <row r="729" spans="1:1" x14ac:dyDescent="0.45">
      <c r="A729" s="1">
        <v>45744</v>
      </c>
    </row>
    <row r="730" spans="1:1" x14ac:dyDescent="0.45">
      <c r="A730" s="1">
        <v>45745</v>
      </c>
    </row>
    <row r="731" spans="1:1" x14ac:dyDescent="0.45">
      <c r="A731" s="1">
        <v>45746</v>
      </c>
    </row>
    <row r="732" spans="1:1" x14ac:dyDescent="0.45">
      <c r="A732" s="1">
        <v>45747</v>
      </c>
    </row>
    <row r="733" spans="1:1" x14ac:dyDescent="0.45">
      <c r="A733" s="1">
        <v>45748</v>
      </c>
    </row>
    <row r="734" spans="1:1" x14ac:dyDescent="0.45">
      <c r="A734" s="1">
        <v>45749</v>
      </c>
    </row>
    <row r="735" spans="1:1" x14ac:dyDescent="0.45">
      <c r="A735" s="1">
        <v>45750</v>
      </c>
    </row>
    <row r="736" spans="1:1" x14ac:dyDescent="0.45">
      <c r="A736" s="1">
        <v>45751</v>
      </c>
    </row>
    <row r="737" spans="1:1" x14ac:dyDescent="0.45">
      <c r="A737" s="1">
        <v>45752</v>
      </c>
    </row>
    <row r="738" spans="1:1" x14ac:dyDescent="0.45">
      <c r="A738" s="1">
        <v>45753</v>
      </c>
    </row>
    <row r="739" spans="1:1" x14ac:dyDescent="0.45">
      <c r="A739" s="1">
        <v>45754</v>
      </c>
    </row>
    <row r="740" spans="1:1" x14ac:dyDescent="0.45">
      <c r="A740" s="1">
        <v>45755</v>
      </c>
    </row>
    <row r="741" spans="1:1" x14ac:dyDescent="0.45">
      <c r="A741" s="1">
        <v>45756</v>
      </c>
    </row>
    <row r="742" spans="1:1" x14ac:dyDescent="0.45">
      <c r="A742" s="1">
        <v>45757</v>
      </c>
    </row>
    <row r="743" spans="1:1" x14ac:dyDescent="0.45">
      <c r="A743" s="1">
        <v>45758</v>
      </c>
    </row>
    <row r="744" spans="1:1" x14ac:dyDescent="0.45">
      <c r="A744" s="1">
        <v>45759</v>
      </c>
    </row>
    <row r="745" spans="1:1" x14ac:dyDescent="0.45">
      <c r="A745" s="1">
        <v>45760</v>
      </c>
    </row>
    <row r="746" spans="1:1" x14ac:dyDescent="0.45">
      <c r="A746" s="1">
        <v>45761</v>
      </c>
    </row>
    <row r="747" spans="1:1" x14ac:dyDescent="0.45">
      <c r="A747" s="1">
        <v>45762</v>
      </c>
    </row>
    <row r="748" spans="1:1" x14ac:dyDescent="0.45">
      <c r="A748" s="1">
        <v>45763</v>
      </c>
    </row>
    <row r="749" spans="1:1" x14ac:dyDescent="0.45">
      <c r="A749" s="1">
        <v>45764</v>
      </c>
    </row>
    <row r="750" spans="1:1" x14ac:dyDescent="0.45">
      <c r="A750" s="1">
        <v>45765</v>
      </c>
    </row>
    <row r="751" spans="1:1" x14ac:dyDescent="0.45">
      <c r="A751" s="1">
        <v>45766</v>
      </c>
    </row>
    <row r="752" spans="1:1" x14ac:dyDescent="0.45">
      <c r="A752" s="1">
        <v>45767</v>
      </c>
    </row>
    <row r="753" spans="1:1" x14ac:dyDescent="0.45">
      <c r="A753" s="1">
        <v>45768</v>
      </c>
    </row>
    <row r="754" spans="1:1" x14ac:dyDescent="0.45">
      <c r="A754" s="1">
        <v>45769</v>
      </c>
    </row>
    <row r="755" spans="1:1" x14ac:dyDescent="0.45">
      <c r="A755" s="1">
        <v>45770</v>
      </c>
    </row>
    <row r="756" spans="1:1" x14ac:dyDescent="0.45">
      <c r="A756" s="1">
        <v>45771</v>
      </c>
    </row>
    <row r="757" spans="1:1" x14ac:dyDescent="0.45">
      <c r="A757" s="1">
        <v>45772</v>
      </c>
    </row>
    <row r="758" spans="1:1" x14ac:dyDescent="0.45">
      <c r="A758" s="1">
        <v>45773</v>
      </c>
    </row>
    <row r="759" spans="1:1" x14ac:dyDescent="0.45">
      <c r="A759" s="1">
        <v>45774</v>
      </c>
    </row>
    <row r="760" spans="1:1" x14ac:dyDescent="0.45">
      <c r="A760" s="1">
        <v>45775</v>
      </c>
    </row>
    <row r="761" spans="1:1" x14ac:dyDescent="0.45">
      <c r="A761" s="1">
        <v>45776</v>
      </c>
    </row>
    <row r="762" spans="1:1" x14ac:dyDescent="0.45">
      <c r="A762" s="1">
        <v>45777</v>
      </c>
    </row>
    <row r="763" spans="1:1" x14ac:dyDescent="0.45">
      <c r="A763" s="1">
        <v>45778</v>
      </c>
    </row>
    <row r="764" spans="1:1" x14ac:dyDescent="0.45">
      <c r="A764" s="1">
        <v>45779</v>
      </c>
    </row>
    <row r="765" spans="1:1" x14ac:dyDescent="0.45">
      <c r="A765" s="1">
        <v>45780</v>
      </c>
    </row>
    <row r="766" spans="1:1" x14ac:dyDescent="0.45">
      <c r="A766" s="1">
        <v>45781</v>
      </c>
    </row>
    <row r="767" spans="1:1" x14ac:dyDescent="0.45">
      <c r="A767" s="1">
        <v>45782</v>
      </c>
    </row>
    <row r="768" spans="1:1" x14ac:dyDescent="0.45">
      <c r="A768" s="1">
        <v>45783</v>
      </c>
    </row>
    <row r="769" spans="1:1" x14ac:dyDescent="0.45">
      <c r="A769" s="1">
        <v>45784</v>
      </c>
    </row>
    <row r="770" spans="1:1" x14ac:dyDescent="0.45">
      <c r="A770" s="1">
        <v>45785</v>
      </c>
    </row>
    <row r="771" spans="1:1" x14ac:dyDescent="0.45">
      <c r="A771" s="1">
        <v>45786</v>
      </c>
    </row>
    <row r="772" spans="1:1" x14ac:dyDescent="0.45">
      <c r="A772" s="1">
        <v>45787</v>
      </c>
    </row>
    <row r="773" spans="1:1" x14ac:dyDescent="0.45">
      <c r="A773" s="1">
        <v>45788</v>
      </c>
    </row>
    <row r="774" spans="1:1" x14ac:dyDescent="0.45">
      <c r="A774" s="1">
        <v>45789</v>
      </c>
    </row>
    <row r="775" spans="1:1" x14ac:dyDescent="0.45">
      <c r="A775" s="1">
        <v>45790</v>
      </c>
    </row>
    <row r="776" spans="1:1" x14ac:dyDescent="0.45">
      <c r="A776" s="1">
        <v>45791</v>
      </c>
    </row>
    <row r="777" spans="1:1" x14ac:dyDescent="0.45">
      <c r="A777" s="1">
        <v>45792</v>
      </c>
    </row>
    <row r="778" spans="1:1" x14ac:dyDescent="0.45">
      <c r="A778" s="1">
        <v>45793</v>
      </c>
    </row>
    <row r="779" spans="1:1" x14ac:dyDescent="0.45">
      <c r="A779" s="1">
        <v>45794</v>
      </c>
    </row>
    <row r="780" spans="1:1" x14ac:dyDescent="0.45">
      <c r="A780" s="1">
        <v>45795</v>
      </c>
    </row>
    <row r="781" spans="1:1" x14ac:dyDescent="0.45">
      <c r="A781" s="1">
        <v>45796</v>
      </c>
    </row>
    <row r="782" spans="1:1" x14ac:dyDescent="0.45">
      <c r="A782" s="1">
        <v>45797</v>
      </c>
    </row>
    <row r="783" spans="1:1" x14ac:dyDescent="0.45">
      <c r="A783" s="1">
        <v>45798</v>
      </c>
    </row>
    <row r="784" spans="1:1" x14ac:dyDescent="0.45">
      <c r="A784" s="1">
        <v>45799</v>
      </c>
    </row>
    <row r="785" spans="1:1" x14ac:dyDescent="0.45">
      <c r="A785" s="1">
        <v>45800</v>
      </c>
    </row>
    <row r="786" spans="1:1" x14ac:dyDescent="0.45">
      <c r="A786" s="1">
        <v>45801</v>
      </c>
    </row>
    <row r="787" spans="1:1" x14ac:dyDescent="0.45">
      <c r="A787" s="1">
        <v>45802</v>
      </c>
    </row>
    <row r="788" spans="1:1" x14ac:dyDescent="0.45">
      <c r="A788" s="1">
        <v>45803</v>
      </c>
    </row>
    <row r="789" spans="1:1" x14ac:dyDescent="0.45">
      <c r="A789" s="1">
        <v>45804</v>
      </c>
    </row>
    <row r="790" spans="1:1" x14ac:dyDescent="0.45">
      <c r="A790" s="1">
        <v>45805</v>
      </c>
    </row>
    <row r="791" spans="1:1" x14ac:dyDescent="0.45">
      <c r="A791" s="1">
        <v>45806</v>
      </c>
    </row>
    <row r="792" spans="1:1" x14ac:dyDescent="0.45">
      <c r="A792" s="1">
        <v>45807</v>
      </c>
    </row>
    <row r="793" spans="1:1" x14ac:dyDescent="0.45">
      <c r="A793" s="1">
        <v>45808</v>
      </c>
    </row>
    <row r="794" spans="1:1" x14ac:dyDescent="0.45">
      <c r="A794" s="1">
        <v>45809</v>
      </c>
    </row>
    <row r="795" spans="1:1" x14ac:dyDescent="0.45">
      <c r="A795" s="1">
        <v>45810</v>
      </c>
    </row>
    <row r="796" spans="1:1" x14ac:dyDescent="0.45">
      <c r="A796" s="1">
        <v>45811</v>
      </c>
    </row>
    <row r="797" spans="1:1" x14ac:dyDescent="0.45">
      <c r="A797" s="1">
        <v>45812</v>
      </c>
    </row>
    <row r="798" spans="1:1" x14ac:dyDescent="0.45">
      <c r="A798" s="1">
        <v>45813</v>
      </c>
    </row>
    <row r="799" spans="1:1" x14ac:dyDescent="0.45">
      <c r="A799" s="1">
        <v>45814</v>
      </c>
    </row>
    <row r="800" spans="1:1" x14ac:dyDescent="0.45">
      <c r="A800" s="1">
        <v>45815</v>
      </c>
    </row>
    <row r="801" spans="1:1" x14ac:dyDescent="0.45">
      <c r="A801" s="1">
        <v>45816</v>
      </c>
    </row>
    <row r="802" spans="1:1" x14ac:dyDescent="0.45">
      <c r="A802" s="1">
        <v>45817</v>
      </c>
    </row>
    <row r="803" spans="1:1" x14ac:dyDescent="0.45">
      <c r="A803" s="1">
        <v>45818</v>
      </c>
    </row>
    <row r="804" spans="1:1" x14ac:dyDescent="0.45">
      <c r="A804" s="1">
        <v>45819</v>
      </c>
    </row>
    <row r="805" spans="1:1" x14ac:dyDescent="0.45">
      <c r="A805" s="1">
        <v>45820</v>
      </c>
    </row>
    <row r="806" spans="1:1" x14ac:dyDescent="0.45">
      <c r="A806" s="1">
        <v>45821</v>
      </c>
    </row>
    <row r="807" spans="1:1" x14ac:dyDescent="0.45">
      <c r="A807" s="1">
        <v>45822</v>
      </c>
    </row>
    <row r="808" spans="1:1" x14ac:dyDescent="0.45">
      <c r="A808" s="1">
        <v>45823</v>
      </c>
    </row>
    <row r="809" spans="1:1" x14ac:dyDescent="0.45">
      <c r="A809" s="1">
        <v>45824</v>
      </c>
    </row>
    <row r="810" spans="1:1" x14ac:dyDescent="0.45">
      <c r="A810" s="1">
        <v>45825</v>
      </c>
    </row>
    <row r="811" spans="1:1" x14ac:dyDescent="0.45">
      <c r="A811" s="1">
        <v>45826</v>
      </c>
    </row>
    <row r="812" spans="1:1" x14ac:dyDescent="0.45">
      <c r="A812" s="1">
        <v>45827</v>
      </c>
    </row>
    <row r="813" spans="1:1" x14ac:dyDescent="0.45">
      <c r="A813" s="1">
        <v>45828</v>
      </c>
    </row>
    <row r="814" spans="1:1" x14ac:dyDescent="0.45">
      <c r="A814" s="1">
        <v>45829</v>
      </c>
    </row>
    <row r="815" spans="1:1" x14ac:dyDescent="0.45">
      <c r="A815" s="1">
        <v>45830</v>
      </c>
    </row>
    <row r="816" spans="1:1" x14ac:dyDescent="0.45">
      <c r="A816" s="1">
        <v>45831</v>
      </c>
    </row>
    <row r="817" spans="1:1" x14ac:dyDescent="0.45">
      <c r="A817" s="1">
        <v>45832</v>
      </c>
    </row>
    <row r="818" spans="1:1" x14ac:dyDescent="0.45">
      <c r="A818" s="1">
        <v>45833</v>
      </c>
    </row>
    <row r="819" spans="1:1" x14ac:dyDescent="0.45">
      <c r="A819" s="1">
        <v>45834</v>
      </c>
    </row>
    <row r="820" spans="1:1" x14ac:dyDescent="0.45">
      <c r="A820" s="1">
        <v>45835</v>
      </c>
    </row>
    <row r="821" spans="1:1" x14ac:dyDescent="0.45">
      <c r="A821" s="1">
        <v>45836</v>
      </c>
    </row>
    <row r="822" spans="1:1" x14ac:dyDescent="0.45">
      <c r="A822" s="1">
        <v>45837</v>
      </c>
    </row>
    <row r="823" spans="1:1" x14ac:dyDescent="0.45">
      <c r="A823" s="1">
        <v>45838</v>
      </c>
    </row>
    <row r="824" spans="1:1" x14ac:dyDescent="0.45">
      <c r="A824" s="1">
        <v>45839</v>
      </c>
    </row>
    <row r="825" spans="1:1" x14ac:dyDescent="0.45">
      <c r="A825" s="1">
        <v>45840</v>
      </c>
    </row>
    <row r="826" spans="1:1" x14ac:dyDescent="0.45">
      <c r="A826" s="1">
        <v>45841</v>
      </c>
    </row>
    <row r="827" spans="1:1" x14ac:dyDescent="0.45">
      <c r="A827" s="1">
        <v>45842</v>
      </c>
    </row>
    <row r="828" spans="1:1" x14ac:dyDescent="0.45">
      <c r="A828" s="1">
        <v>45843</v>
      </c>
    </row>
    <row r="829" spans="1:1" x14ac:dyDescent="0.45">
      <c r="A829" s="1">
        <v>45844</v>
      </c>
    </row>
    <row r="830" spans="1:1" x14ac:dyDescent="0.45">
      <c r="A830" s="1">
        <v>45845</v>
      </c>
    </row>
    <row r="831" spans="1:1" x14ac:dyDescent="0.45">
      <c r="A831" s="1">
        <v>45846</v>
      </c>
    </row>
    <row r="832" spans="1:1" x14ac:dyDescent="0.45">
      <c r="A832" s="1">
        <v>45847</v>
      </c>
    </row>
    <row r="833" spans="1:1" x14ac:dyDescent="0.45">
      <c r="A833" s="1">
        <v>45848</v>
      </c>
    </row>
    <row r="834" spans="1:1" x14ac:dyDescent="0.45">
      <c r="A834" s="1">
        <v>45849</v>
      </c>
    </row>
    <row r="835" spans="1:1" x14ac:dyDescent="0.45">
      <c r="A835" s="1">
        <v>45850</v>
      </c>
    </row>
    <row r="836" spans="1:1" x14ac:dyDescent="0.45">
      <c r="A836" s="1">
        <v>45851</v>
      </c>
    </row>
    <row r="837" spans="1:1" x14ac:dyDescent="0.45">
      <c r="A837" s="1">
        <v>45852</v>
      </c>
    </row>
    <row r="838" spans="1:1" x14ac:dyDescent="0.45">
      <c r="A838" s="1">
        <v>45853</v>
      </c>
    </row>
    <row r="839" spans="1:1" x14ac:dyDescent="0.45">
      <c r="A839" s="1">
        <v>45854</v>
      </c>
    </row>
    <row r="840" spans="1:1" x14ac:dyDescent="0.45">
      <c r="A840" s="1">
        <v>45855</v>
      </c>
    </row>
    <row r="841" spans="1:1" x14ac:dyDescent="0.45">
      <c r="A841" s="1">
        <v>45856</v>
      </c>
    </row>
    <row r="842" spans="1:1" x14ac:dyDescent="0.45">
      <c r="A842" s="1">
        <v>45857</v>
      </c>
    </row>
    <row r="843" spans="1:1" x14ac:dyDescent="0.45">
      <c r="A843" s="1">
        <v>45858</v>
      </c>
    </row>
    <row r="844" spans="1:1" x14ac:dyDescent="0.45">
      <c r="A844" s="1">
        <v>45859</v>
      </c>
    </row>
    <row r="845" spans="1:1" x14ac:dyDescent="0.45">
      <c r="A845" s="1">
        <v>45860</v>
      </c>
    </row>
    <row r="846" spans="1:1" x14ac:dyDescent="0.45">
      <c r="A846" s="1">
        <v>45861</v>
      </c>
    </row>
    <row r="847" spans="1:1" x14ac:dyDescent="0.45">
      <c r="A847" s="1">
        <v>45862</v>
      </c>
    </row>
    <row r="848" spans="1:1" x14ac:dyDescent="0.45">
      <c r="A848" s="1">
        <v>45863</v>
      </c>
    </row>
    <row r="849" spans="1:1" x14ac:dyDescent="0.45">
      <c r="A849" s="1">
        <v>45864</v>
      </c>
    </row>
    <row r="850" spans="1:1" x14ac:dyDescent="0.45">
      <c r="A850" s="1">
        <v>45865</v>
      </c>
    </row>
    <row r="851" spans="1:1" x14ac:dyDescent="0.45">
      <c r="A851" s="1">
        <v>45866</v>
      </c>
    </row>
    <row r="852" spans="1:1" x14ac:dyDescent="0.45">
      <c r="A852" s="1">
        <v>45867</v>
      </c>
    </row>
    <row r="853" spans="1:1" x14ac:dyDescent="0.45">
      <c r="A853" s="1">
        <v>45868</v>
      </c>
    </row>
    <row r="854" spans="1:1" x14ac:dyDescent="0.45">
      <c r="A854" s="1">
        <v>45869</v>
      </c>
    </row>
    <row r="855" spans="1:1" x14ac:dyDescent="0.45">
      <c r="A855" s="1">
        <v>45870</v>
      </c>
    </row>
    <row r="856" spans="1:1" x14ac:dyDescent="0.45">
      <c r="A856" s="1">
        <v>45871</v>
      </c>
    </row>
    <row r="857" spans="1:1" x14ac:dyDescent="0.45">
      <c r="A857" s="1">
        <v>45872</v>
      </c>
    </row>
    <row r="858" spans="1:1" x14ac:dyDescent="0.45">
      <c r="A858" s="1">
        <v>45873</v>
      </c>
    </row>
    <row r="859" spans="1:1" x14ac:dyDescent="0.45">
      <c r="A859" s="1">
        <v>45874</v>
      </c>
    </row>
    <row r="860" spans="1:1" x14ac:dyDescent="0.45">
      <c r="A860" s="1">
        <v>45875</v>
      </c>
    </row>
    <row r="861" spans="1:1" x14ac:dyDescent="0.45">
      <c r="A861" s="1">
        <v>45876</v>
      </c>
    </row>
    <row r="862" spans="1:1" x14ac:dyDescent="0.45">
      <c r="A862" s="1">
        <v>45877</v>
      </c>
    </row>
    <row r="863" spans="1:1" x14ac:dyDescent="0.45">
      <c r="A863" s="1">
        <v>45878</v>
      </c>
    </row>
    <row r="864" spans="1:1" x14ac:dyDescent="0.45">
      <c r="A864" s="1">
        <v>45879</v>
      </c>
    </row>
    <row r="865" spans="1:1" x14ac:dyDescent="0.45">
      <c r="A865" s="1">
        <v>45880</v>
      </c>
    </row>
    <row r="866" spans="1:1" x14ac:dyDescent="0.45">
      <c r="A866" s="1">
        <v>45881</v>
      </c>
    </row>
    <row r="867" spans="1:1" x14ac:dyDescent="0.45">
      <c r="A867" s="1">
        <v>45882</v>
      </c>
    </row>
    <row r="868" spans="1:1" x14ac:dyDescent="0.45">
      <c r="A868" s="1">
        <v>45883</v>
      </c>
    </row>
    <row r="869" spans="1:1" x14ac:dyDescent="0.45">
      <c r="A869" s="1">
        <v>45884</v>
      </c>
    </row>
    <row r="870" spans="1:1" x14ac:dyDescent="0.45">
      <c r="A870" s="1">
        <v>45885</v>
      </c>
    </row>
    <row r="871" spans="1:1" x14ac:dyDescent="0.45">
      <c r="A871" s="1">
        <v>45886</v>
      </c>
    </row>
    <row r="872" spans="1:1" x14ac:dyDescent="0.45">
      <c r="A872" s="1">
        <v>45887</v>
      </c>
    </row>
    <row r="873" spans="1:1" x14ac:dyDescent="0.45">
      <c r="A873" s="1">
        <v>45888</v>
      </c>
    </row>
    <row r="874" spans="1:1" x14ac:dyDescent="0.45">
      <c r="A874" s="1">
        <v>45889</v>
      </c>
    </row>
    <row r="875" spans="1:1" x14ac:dyDescent="0.45">
      <c r="A875" s="1">
        <v>45890</v>
      </c>
    </row>
    <row r="876" spans="1:1" x14ac:dyDescent="0.45">
      <c r="A876" s="1">
        <v>45891</v>
      </c>
    </row>
    <row r="877" spans="1:1" x14ac:dyDescent="0.45">
      <c r="A877" s="1">
        <v>45892</v>
      </c>
    </row>
    <row r="878" spans="1:1" x14ac:dyDescent="0.45">
      <c r="A878" s="1">
        <v>45893</v>
      </c>
    </row>
    <row r="879" spans="1:1" x14ac:dyDescent="0.45">
      <c r="A879" s="1">
        <v>45894</v>
      </c>
    </row>
    <row r="880" spans="1:1" x14ac:dyDescent="0.45">
      <c r="A880" s="1">
        <v>45895</v>
      </c>
    </row>
    <row r="881" spans="1:1" x14ac:dyDescent="0.45">
      <c r="A881" s="1">
        <v>45896</v>
      </c>
    </row>
    <row r="882" spans="1:1" x14ac:dyDescent="0.45">
      <c r="A882" s="1">
        <v>45897</v>
      </c>
    </row>
    <row r="883" spans="1:1" x14ac:dyDescent="0.45">
      <c r="A883" s="1">
        <v>45898</v>
      </c>
    </row>
    <row r="884" spans="1:1" x14ac:dyDescent="0.45">
      <c r="A884" s="1">
        <v>45899</v>
      </c>
    </row>
    <row r="885" spans="1:1" x14ac:dyDescent="0.45">
      <c r="A885" s="1">
        <v>45900</v>
      </c>
    </row>
    <row r="886" spans="1:1" x14ac:dyDescent="0.45">
      <c r="A886" s="1">
        <v>45901</v>
      </c>
    </row>
    <row r="887" spans="1:1" x14ac:dyDescent="0.45">
      <c r="A887" s="1">
        <v>45902</v>
      </c>
    </row>
    <row r="888" spans="1:1" x14ac:dyDescent="0.45">
      <c r="A888" s="1">
        <v>45903</v>
      </c>
    </row>
    <row r="889" spans="1:1" x14ac:dyDescent="0.45">
      <c r="A889" s="1">
        <v>45904</v>
      </c>
    </row>
    <row r="890" spans="1:1" x14ac:dyDescent="0.45">
      <c r="A890" s="1">
        <v>45905</v>
      </c>
    </row>
    <row r="891" spans="1:1" x14ac:dyDescent="0.45">
      <c r="A891" s="1">
        <v>45906</v>
      </c>
    </row>
    <row r="892" spans="1:1" x14ac:dyDescent="0.45">
      <c r="A892" s="1">
        <v>45907</v>
      </c>
    </row>
    <row r="893" spans="1:1" x14ac:dyDescent="0.45">
      <c r="A893" s="1">
        <v>45908</v>
      </c>
    </row>
    <row r="894" spans="1:1" x14ac:dyDescent="0.45">
      <c r="A894" s="1">
        <v>45909</v>
      </c>
    </row>
    <row r="895" spans="1:1" x14ac:dyDescent="0.45">
      <c r="A895" s="1">
        <v>45910</v>
      </c>
    </row>
    <row r="896" spans="1:1" x14ac:dyDescent="0.45">
      <c r="A896" s="1">
        <v>45911</v>
      </c>
    </row>
    <row r="897" spans="1:1" x14ac:dyDescent="0.45">
      <c r="A897" s="1">
        <v>45912</v>
      </c>
    </row>
    <row r="898" spans="1:1" x14ac:dyDescent="0.45">
      <c r="A898" s="1">
        <v>45913</v>
      </c>
    </row>
    <row r="899" spans="1:1" x14ac:dyDescent="0.45">
      <c r="A899" s="1">
        <v>45914</v>
      </c>
    </row>
    <row r="900" spans="1:1" x14ac:dyDescent="0.45">
      <c r="A900" s="1">
        <v>45915</v>
      </c>
    </row>
    <row r="901" spans="1:1" x14ac:dyDescent="0.45">
      <c r="A901" s="1">
        <v>45916</v>
      </c>
    </row>
    <row r="902" spans="1:1" x14ac:dyDescent="0.45">
      <c r="A902" s="1">
        <v>45917</v>
      </c>
    </row>
    <row r="903" spans="1:1" x14ac:dyDescent="0.45">
      <c r="A903" s="1">
        <v>45918</v>
      </c>
    </row>
    <row r="904" spans="1:1" x14ac:dyDescent="0.45">
      <c r="A904" s="1">
        <v>45919</v>
      </c>
    </row>
    <row r="905" spans="1:1" x14ac:dyDescent="0.45">
      <c r="A905" s="1">
        <v>45920</v>
      </c>
    </row>
    <row r="906" spans="1:1" x14ac:dyDescent="0.45">
      <c r="A906" s="1">
        <v>45921</v>
      </c>
    </row>
    <row r="907" spans="1:1" x14ac:dyDescent="0.45">
      <c r="A907" s="1">
        <v>45922</v>
      </c>
    </row>
    <row r="908" spans="1:1" x14ac:dyDescent="0.45">
      <c r="A908" s="1">
        <v>45923</v>
      </c>
    </row>
    <row r="909" spans="1:1" x14ac:dyDescent="0.45">
      <c r="A909" s="1">
        <v>45924</v>
      </c>
    </row>
    <row r="910" spans="1:1" x14ac:dyDescent="0.45">
      <c r="A910" s="1">
        <v>45925</v>
      </c>
    </row>
    <row r="911" spans="1:1" x14ac:dyDescent="0.45">
      <c r="A911" s="1">
        <v>45926</v>
      </c>
    </row>
    <row r="912" spans="1:1" x14ac:dyDescent="0.45">
      <c r="A912" s="1">
        <v>45927</v>
      </c>
    </row>
    <row r="913" spans="1:1" x14ac:dyDescent="0.45">
      <c r="A913" s="1">
        <v>45928</v>
      </c>
    </row>
    <row r="914" spans="1:1" x14ac:dyDescent="0.45">
      <c r="A914" s="1">
        <v>45929</v>
      </c>
    </row>
    <row r="915" spans="1:1" x14ac:dyDescent="0.45">
      <c r="A915" s="1">
        <v>45930</v>
      </c>
    </row>
    <row r="916" spans="1:1" x14ac:dyDescent="0.45">
      <c r="A916" s="1">
        <v>45931</v>
      </c>
    </row>
    <row r="917" spans="1:1" x14ac:dyDescent="0.45">
      <c r="A917" s="1">
        <v>45932</v>
      </c>
    </row>
    <row r="918" spans="1:1" x14ac:dyDescent="0.45">
      <c r="A918" s="1">
        <v>45933</v>
      </c>
    </row>
    <row r="919" spans="1:1" x14ac:dyDescent="0.45">
      <c r="A919" s="1">
        <v>45934</v>
      </c>
    </row>
    <row r="920" spans="1:1" x14ac:dyDescent="0.45">
      <c r="A920" s="1">
        <v>45935</v>
      </c>
    </row>
    <row r="921" spans="1:1" x14ac:dyDescent="0.45">
      <c r="A921" s="1">
        <v>45936</v>
      </c>
    </row>
    <row r="922" spans="1:1" x14ac:dyDescent="0.45">
      <c r="A922" s="1">
        <v>45937</v>
      </c>
    </row>
    <row r="923" spans="1:1" x14ac:dyDescent="0.45">
      <c r="A923" s="1">
        <v>45938</v>
      </c>
    </row>
    <row r="924" spans="1:1" x14ac:dyDescent="0.45">
      <c r="A924" s="1">
        <v>45939</v>
      </c>
    </row>
    <row r="925" spans="1:1" x14ac:dyDescent="0.45">
      <c r="A925" s="1">
        <v>45940</v>
      </c>
    </row>
    <row r="926" spans="1:1" x14ac:dyDescent="0.45">
      <c r="A926" s="1">
        <v>45941</v>
      </c>
    </row>
    <row r="927" spans="1:1" x14ac:dyDescent="0.45">
      <c r="A927" s="1">
        <v>45942</v>
      </c>
    </row>
    <row r="928" spans="1:1" x14ac:dyDescent="0.45">
      <c r="A928" s="1">
        <v>45943</v>
      </c>
    </row>
    <row r="929" spans="1:1" x14ac:dyDescent="0.45">
      <c r="A929" s="1">
        <v>45944</v>
      </c>
    </row>
    <row r="930" spans="1:1" x14ac:dyDescent="0.45">
      <c r="A930" s="1">
        <v>45945</v>
      </c>
    </row>
    <row r="931" spans="1:1" x14ac:dyDescent="0.45">
      <c r="A931" s="1">
        <v>45946</v>
      </c>
    </row>
    <row r="932" spans="1:1" x14ac:dyDescent="0.45">
      <c r="A932" s="1">
        <v>45947</v>
      </c>
    </row>
    <row r="933" spans="1:1" x14ac:dyDescent="0.45">
      <c r="A933" s="1">
        <v>45948</v>
      </c>
    </row>
    <row r="934" spans="1:1" x14ac:dyDescent="0.45">
      <c r="A934" s="1">
        <v>45949</v>
      </c>
    </row>
    <row r="935" spans="1:1" x14ac:dyDescent="0.45">
      <c r="A935" s="1">
        <v>45950</v>
      </c>
    </row>
    <row r="936" spans="1:1" x14ac:dyDescent="0.45">
      <c r="A936" s="1">
        <v>45951</v>
      </c>
    </row>
    <row r="937" spans="1:1" x14ac:dyDescent="0.45">
      <c r="A937" s="1">
        <v>45952</v>
      </c>
    </row>
    <row r="938" spans="1:1" x14ac:dyDescent="0.45">
      <c r="A938" s="1">
        <v>45953</v>
      </c>
    </row>
    <row r="939" spans="1:1" x14ac:dyDescent="0.45">
      <c r="A939" s="1">
        <v>45954</v>
      </c>
    </row>
    <row r="940" spans="1:1" x14ac:dyDescent="0.45">
      <c r="A940" s="1">
        <v>45955</v>
      </c>
    </row>
    <row r="941" spans="1:1" x14ac:dyDescent="0.45">
      <c r="A941" s="1">
        <v>45956</v>
      </c>
    </row>
    <row r="942" spans="1:1" x14ac:dyDescent="0.45">
      <c r="A942" s="1">
        <v>45957</v>
      </c>
    </row>
    <row r="943" spans="1:1" x14ac:dyDescent="0.45">
      <c r="A943" s="1">
        <v>45958</v>
      </c>
    </row>
    <row r="944" spans="1:1" x14ac:dyDescent="0.45">
      <c r="A944" s="1">
        <v>45959</v>
      </c>
    </row>
    <row r="945" spans="1:1" x14ac:dyDescent="0.45">
      <c r="A945" s="1">
        <v>45960</v>
      </c>
    </row>
    <row r="946" spans="1:1" x14ac:dyDescent="0.45">
      <c r="A946" s="1">
        <v>45961</v>
      </c>
    </row>
    <row r="947" spans="1:1" x14ac:dyDescent="0.45">
      <c r="A947" s="1">
        <v>45962</v>
      </c>
    </row>
    <row r="948" spans="1:1" x14ac:dyDescent="0.45">
      <c r="A948" s="1">
        <v>45963</v>
      </c>
    </row>
    <row r="949" spans="1:1" x14ac:dyDescent="0.45">
      <c r="A949" s="1">
        <v>45964</v>
      </c>
    </row>
    <row r="950" spans="1:1" x14ac:dyDescent="0.45">
      <c r="A950" s="1">
        <v>45965</v>
      </c>
    </row>
    <row r="951" spans="1:1" x14ac:dyDescent="0.45">
      <c r="A951" s="1">
        <v>45966</v>
      </c>
    </row>
    <row r="952" spans="1:1" x14ac:dyDescent="0.45">
      <c r="A952" s="1">
        <v>45967</v>
      </c>
    </row>
    <row r="953" spans="1:1" x14ac:dyDescent="0.45">
      <c r="A953" s="1">
        <v>45968</v>
      </c>
    </row>
    <row r="954" spans="1:1" x14ac:dyDescent="0.45">
      <c r="A954" s="1">
        <v>45969</v>
      </c>
    </row>
    <row r="955" spans="1:1" x14ac:dyDescent="0.45">
      <c r="A955" s="1">
        <v>45970</v>
      </c>
    </row>
    <row r="956" spans="1:1" x14ac:dyDescent="0.45">
      <c r="A956" s="1">
        <v>45971</v>
      </c>
    </row>
    <row r="957" spans="1:1" x14ac:dyDescent="0.45">
      <c r="A957" s="1">
        <v>45972</v>
      </c>
    </row>
    <row r="958" spans="1:1" x14ac:dyDescent="0.45">
      <c r="A958" s="1">
        <v>45973</v>
      </c>
    </row>
    <row r="959" spans="1:1" x14ac:dyDescent="0.45">
      <c r="A959" s="1">
        <v>45974</v>
      </c>
    </row>
    <row r="960" spans="1:1" x14ac:dyDescent="0.45">
      <c r="A960" s="1">
        <v>45975</v>
      </c>
    </row>
    <row r="961" spans="1:1" x14ac:dyDescent="0.45">
      <c r="A961" s="1">
        <v>45976</v>
      </c>
    </row>
    <row r="962" spans="1:1" x14ac:dyDescent="0.45">
      <c r="A962" s="1">
        <v>45977</v>
      </c>
    </row>
    <row r="963" spans="1:1" x14ac:dyDescent="0.45">
      <c r="A963" s="1">
        <v>45978</v>
      </c>
    </row>
    <row r="964" spans="1:1" x14ac:dyDescent="0.45">
      <c r="A964" s="1">
        <v>45979</v>
      </c>
    </row>
    <row r="965" spans="1:1" x14ac:dyDescent="0.45">
      <c r="A965" s="1">
        <v>45980</v>
      </c>
    </row>
    <row r="966" spans="1:1" x14ac:dyDescent="0.45">
      <c r="A966" s="1">
        <v>45981</v>
      </c>
    </row>
    <row r="967" spans="1:1" x14ac:dyDescent="0.45">
      <c r="A967" s="1">
        <v>45982</v>
      </c>
    </row>
    <row r="968" spans="1:1" x14ac:dyDescent="0.45">
      <c r="A968" s="1">
        <v>45983</v>
      </c>
    </row>
    <row r="969" spans="1:1" x14ac:dyDescent="0.45">
      <c r="A969" s="1">
        <v>45984</v>
      </c>
    </row>
    <row r="970" spans="1:1" x14ac:dyDescent="0.45">
      <c r="A970" s="1">
        <v>45985</v>
      </c>
    </row>
    <row r="971" spans="1:1" x14ac:dyDescent="0.45">
      <c r="A971" s="1">
        <v>45986</v>
      </c>
    </row>
    <row r="972" spans="1:1" x14ac:dyDescent="0.45">
      <c r="A972" s="1">
        <v>45987</v>
      </c>
    </row>
    <row r="973" spans="1:1" x14ac:dyDescent="0.45">
      <c r="A973" s="1">
        <v>45988</v>
      </c>
    </row>
    <row r="974" spans="1:1" x14ac:dyDescent="0.45">
      <c r="A974" s="1">
        <v>45989</v>
      </c>
    </row>
    <row r="975" spans="1:1" x14ac:dyDescent="0.45">
      <c r="A975" s="1">
        <v>45990</v>
      </c>
    </row>
    <row r="976" spans="1:1" x14ac:dyDescent="0.45">
      <c r="A976" s="1">
        <v>45991</v>
      </c>
    </row>
    <row r="977" spans="1:1" x14ac:dyDescent="0.45">
      <c r="A977" s="1">
        <v>45992</v>
      </c>
    </row>
    <row r="978" spans="1:1" x14ac:dyDescent="0.45">
      <c r="A978" s="1">
        <v>45993</v>
      </c>
    </row>
    <row r="979" spans="1:1" x14ac:dyDescent="0.45">
      <c r="A979" s="1">
        <v>45994</v>
      </c>
    </row>
    <row r="980" spans="1:1" x14ac:dyDescent="0.45">
      <c r="A980" s="1">
        <v>45995</v>
      </c>
    </row>
    <row r="981" spans="1:1" x14ac:dyDescent="0.45">
      <c r="A981" s="1">
        <v>45996</v>
      </c>
    </row>
    <row r="982" spans="1:1" x14ac:dyDescent="0.45">
      <c r="A982" s="1">
        <v>45997</v>
      </c>
    </row>
    <row r="983" spans="1:1" x14ac:dyDescent="0.45">
      <c r="A983" s="1">
        <v>45998</v>
      </c>
    </row>
    <row r="984" spans="1:1" x14ac:dyDescent="0.45">
      <c r="A984" s="1">
        <v>45999</v>
      </c>
    </row>
    <row r="985" spans="1:1" x14ac:dyDescent="0.45">
      <c r="A985" s="1">
        <v>46000</v>
      </c>
    </row>
    <row r="986" spans="1:1" x14ac:dyDescent="0.45">
      <c r="A986" s="1">
        <v>46001</v>
      </c>
    </row>
    <row r="987" spans="1:1" x14ac:dyDescent="0.45">
      <c r="A987" s="1">
        <v>46002</v>
      </c>
    </row>
    <row r="988" spans="1:1" x14ac:dyDescent="0.45">
      <c r="A988" s="1">
        <v>46003</v>
      </c>
    </row>
    <row r="989" spans="1:1" x14ac:dyDescent="0.45">
      <c r="A989" s="1">
        <v>46004</v>
      </c>
    </row>
    <row r="990" spans="1:1" x14ac:dyDescent="0.45">
      <c r="A990" s="1">
        <v>46005</v>
      </c>
    </row>
    <row r="991" spans="1:1" x14ac:dyDescent="0.45">
      <c r="A991" s="1">
        <v>46006</v>
      </c>
    </row>
    <row r="992" spans="1:1" x14ac:dyDescent="0.45">
      <c r="A992" s="1">
        <v>46007</v>
      </c>
    </row>
    <row r="993" spans="1:1" x14ac:dyDescent="0.45">
      <c r="A993" s="1">
        <v>46008</v>
      </c>
    </row>
    <row r="994" spans="1:1" x14ac:dyDescent="0.45">
      <c r="A994" s="1">
        <v>46009</v>
      </c>
    </row>
    <row r="995" spans="1:1" x14ac:dyDescent="0.45">
      <c r="A995" s="1">
        <v>46010</v>
      </c>
    </row>
    <row r="996" spans="1:1" x14ac:dyDescent="0.45">
      <c r="A996" s="1">
        <v>46011</v>
      </c>
    </row>
    <row r="997" spans="1:1" x14ac:dyDescent="0.45">
      <c r="A997" s="1">
        <v>46012</v>
      </c>
    </row>
    <row r="998" spans="1:1" x14ac:dyDescent="0.45">
      <c r="A998" s="1">
        <v>46013</v>
      </c>
    </row>
    <row r="999" spans="1:1" x14ac:dyDescent="0.45">
      <c r="A999" s="1">
        <v>46014</v>
      </c>
    </row>
    <row r="1000" spans="1:1" x14ac:dyDescent="0.45">
      <c r="A1000" s="1">
        <v>46015</v>
      </c>
    </row>
    <row r="1001" spans="1:1" x14ac:dyDescent="0.45">
      <c r="A1001" s="1">
        <v>46016</v>
      </c>
    </row>
    <row r="1002" spans="1:1" x14ac:dyDescent="0.45">
      <c r="A1002" s="1">
        <v>46017</v>
      </c>
    </row>
    <row r="1003" spans="1:1" x14ac:dyDescent="0.45">
      <c r="A1003" s="1">
        <v>46018</v>
      </c>
    </row>
    <row r="1004" spans="1:1" x14ac:dyDescent="0.45">
      <c r="A1004" s="1">
        <v>46019</v>
      </c>
    </row>
    <row r="1005" spans="1:1" x14ac:dyDescent="0.45">
      <c r="A1005" s="1">
        <v>46020</v>
      </c>
    </row>
    <row r="1006" spans="1:1" x14ac:dyDescent="0.45">
      <c r="A1006" s="1">
        <v>46021</v>
      </c>
    </row>
    <row r="1007" spans="1:1" x14ac:dyDescent="0.45">
      <c r="A1007" s="1">
        <v>46022</v>
      </c>
    </row>
    <row r="1008" spans="1:1" x14ac:dyDescent="0.45">
      <c r="A1008" s="1">
        <v>46023</v>
      </c>
    </row>
    <row r="1009" spans="1:1" x14ac:dyDescent="0.45">
      <c r="A1009" s="1">
        <v>46024</v>
      </c>
    </row>
    <row r="1010" spans="1:1" x14ac:dyDescent="0.45">
      <c r="A1010" s="1">
        <v>46025</v>
      </c>
    </row>
    <row r="1011" spans="1:1" x14ac:dyDescent="0.45">
      <c r="A1011" s="1">
        <v>46026</v>
      </c>
    </row>
    <row r="1012" spans="1:1" x14ac:dyDescent="0.45">
      <c r="A1012" s="1">
        <v>46027</v>
      </c>
    </row>
    <row r="1013" spans="1:1" x14ac:dyDescent="0.45">
      <c r="A1013" s="1">
        <v>46028</v>
      </c>
    </row>
    <row r="1014" spans="1:1" x14ac:dyDescent="0.45">
      <c r="A1014" s="1">
        <v>46029</v>
      </c>
    </row>
    <row r="1015" spans="1:1" x14ac:dyDescent="0.45">
      <c r="A1015" s="1">
        <v>46030</v>
      </c>
    </row>
    <row r="1016" spans="1:1" x14ac:dyDescent="0.45">
      <c r="A1016" s="1">
        <v>46031</v>
      </c>
    </row>
    <row r="1017" spans="1:1" x14ac:dyDescent="0.45">
      <c r="A1017" s="1">
        <v>46032</v>
      </c>
    </row>
    <row r="1018" spans="1:1" x14ac:dyDescent="0.45">
      <c r="A1018" s="1">
        <v>46033</v>
      </c>
    </row>
    <row r="1019" spans="1:1" x14ac:dyDescent="0.45">
      <c r="A1019" s="1">
        <v>46034</v>
      </c>
    </row>
    <row r="1020" spans="1:1" x14ac:dyDescent="0.45">
      <c r="A1020" s="1">
        <v>46035</v>
      </c>
    </row>
    <row r="1021" spans="1:1" x14ac:dyDescent="0.45">
      <c r="A1021" s="1">
        <v>46036</v>
      </c>
    </row>
    <row r="1022" spans="1:1" x14ac:dyDescent="0.45">
      <c r="A1022" s="1">
        <v>46037</v>
      </c>
    </row>
    <row r="1023" spans="1:1" x14ac:dyDescent="0.45">
      <c r="A1023" s="1">
        <v>46038</v>
      </c>
    </row>
    <row r="1024" spans="1:1" x14ac:dyDescent="0.45">
      <c r="A1024" s="1">
        <v>46039</v>
      </c>
    </row>
    <row r="1025" spans="1:1" x14ac:dyDescent="0.45">
      <c r="A1025" s="1">
        <v>46040</v>
      </c>
    </row>
    <row r="1026" spans="1:1" x14ac:dyDescent="0.45">
      <c r="A1026" s="1">
        <v>46041</v>
      </c>
    </row>
    <row r="1027" spans="1:1" x14ac:dyDescent="0.45">
      <c r="A1027" s="1">
        <v>46042</v>
      </c>
    </row>
    <row r="1028" spans="1:1" x14ac:dyDescent="0.45">
      <c r="A1028" s="1">
        <v>46043</v>
      </c>
    </row>
    <row r="1029" spans="1:1" x14ac:dyDescent="0.45">
      <c r="A1029" s="1">
        <v>46044</v>
      </c>
    </row>
    <row r="1030" spans="1:1" x14ac:dyDescent="0.45">
      <c r="A1030" s="1">
        <v>46045</v>
      </c>
    </row>
    <row r="1031" spans="1:1" x14ac:dyDescent="0.45">
      <c r="A1031" s="1">
        <v>46046</v>
      </c>
    </row>
    <row r="1032" spans="1:1" x14ac:dyDescent="0.45">
      <c r="A1032" s="1">
        <v>46047</v>
      </c>
    </row>
    <row r="1033" spans="1:1" x14ac:dyDescent="0.45">
      <c r="A1033" s="1">
        <v>46048</v>
      </c>
    </row>
    <row r="1034" spans="1:1" x14ac:dyDescent="0.45">
      <c r="A1034" s="1">
        <v>46049</v>
      </c>
    </row>
    <row r="1035" spans="1:1" x14ac:dyDescent="0.45">
      <c r="A1035" s="1">
        <v>46050</v>
      </c>
    </row>
    <row r="1036" spans="1:1" x14ac:dyDescent="0.45">
      <c r="A1036" s="1">
        <v>46051</v>
      </c>
    </row>
    <row r="1037" spans="1:1" x14ac:dyDescent="0.45">
      <c r="A1037" s="1">
        <v>46052</v>
      </c>
    </row>
    <row r="1038" spans="1:1" x14ac:dyDescent="0.45">
      <c r="A1038" s="1">
        <v>46053</v>
      </c>
    </row>
    <row r="1039" spans="1:1" x14ac:dyDescent="0.45">
      <c r="A1039" s="1">
        <v>46054</v>
      </c>
    </row>
    <row r="1040" spans="1:1" x14ac:dyDescent="0.45">
      <c r="A1040" s="1">
        <v>46055</v>
      </c>
    </row>
    <row r="1041" spans="1:1" x14ac:dyDescent="0.45">
      <c r="A1041" s="1">
        <v>46056</v>
      </c>
    </row>
    <row r="1042" spans="1:1" x14ac:dyDescent="0.45">
      <c r="A1042" s="1">
        <v>46057</v>
      </c>
    </row>
    <row r="1043" spans="1:1" x14ac:dyDescent="0.45">
      <c r="A1043" s="1">
        <v>46058</v>
      </c>
    </row>
    <row r="1044" spans="1:1" x14ac:dyDescent="0.45">
      <c r="A1044" s="1">
        <v>46059</v>
      </c>
    </row>
    <row r="1045" spans="1:1" x14ac:dyDescent="0.45">
      <c r="A1045" s="1">
        <v>46060</v>
      </c>
    </row>
    <row r="1046" spans="1:1" x14ac:dyDescent="0.45">
      <c r="A1046" s="1">
        <v>46061</v>
      </c>
    </row>
    <row r="1047" spans="1:1" x14ac:dyDescent="0.45">
      <c r="A1047" s="1">
        <v>46062</v>
      </c>
    </row>
    <row r="1048" spans="1:1" x14ac:dyDescent="0.45">
      <c r="A1048" s="1">
        <v>46063</v>
      </c>
    </row>
    <row r="1049" spans="1:1" x14ac:dyDescent="0.45">
      <c r="A1049" s="1">
        <v>46064</v>
      </c>
    </row>
    <row r="1050" spans="1:1" x14ac:dyDescent="0.45">
      <c r="A1050" s="1">
        <v>46065</v>
      </c>
    </row>
    <row r="1051" spans="1:1" x14ac:dyDescent="0.45">
      <c r="A1051" s="1">
        <v>46066</v>
      </c>
    </row>
    <row r="1052" spans="1:1" x14ac:dyDescent="0.45">
      <c r="A1052" s="1">
        <v>46067</v>
      </c>
    </row>
    <row r="1053" spans="1:1" x14ac:dyDescent="0.45">
      <c r="A1053" s="1">
        <v>46068</v>
      </c>
    </row>
    <row r="1054" spans="1:1" x14ac:dyDescent="0.45">
      <c r="A1054" s="1">
        <v>46069</v>
      </c>
    </row>
    <row r="1055" spans="1:1" x14ac:dyDescent="0.45">
      <c r="A1055" s="1">
        <v>46070</v>
      </c>
    </row>
    <row r="1056" spans="1:1" x14ac:dyDescent="0.45">
      <c r="A1056" s="1">
        <v>46071</v>
      </c>
    </row>
    <row r="1057" spans="1:1" x14ac:dyDescent="0.45">
      <c r="A1057" s="1">
        <v>46072</v>
      </c>
    </row>
    <row r="1058" spans="1:1" x14ac:dyDescent="0.45">
      <c r="A1058" s="1">
        <v>46073</v>
      </c>
    </row>
    <row r="1059" spans="1:1" x14ac:dyDescent="0.45">
      <c r="A1059" s="1">
        <v>46074</v>
      </c>
    </row>
    <row r="1060" spans="1:1" x14ac:dyDescent="0.45">
      <c r="A1060" s="1">
        <v>46075</v>
      </c>
    </row>
    <row r="1061" spans="1:1" x14ac:dyDescent="0.45">
      <c r="A1061" s="1">
        <v>46076</v>
      </c>
    </row>
    <row r="1062" spans="1:1" x14ac:dyDescent="0.45">
      <c r="A1062" s="1">
        <v>46077</v>
      </c>
    </row>
    <row r="1063" spans="1:1" x14ac:dyDescent="0.45">
      <c r="A1063" s="1">
        <v>46078</v>
      </c>
    </row>
    <row r="1064" spans="1:1" x14ac:dyDescent="0.45">
      <c r="A1064" s="1">
        <v>46079</v>
      </c>
    </row>
    <row r="1065" spans="1:1" x14ac:dyDescent="0.45">
      <c r="A1065" s="1">
        <v>46080</v>
      </c>
    </row>
    <row r="1066" spans="1:1" x14ac:dyDescent="0.45">
      <c r="A1066" s="1">
        <v>46081</v>
      </c>
    </row>
    <row r="1067" spans="1:1" x14ac:dyDescent="0.45">
      <c r="A1067" s="1">
        <v>46082</v>
      </c>
    </row>
    <row r="1068" spans="1:1" x14ac:dyDescent="0.45">
      <c r="A1068" s="1">
        <v>46083</v>
      </c>
    </row>
    <row r="1069" spans="1:1" x14ac:dyDescent="0.45">
      <c r="A1069" s="1">
        <v>46084</v>
      </c>
    </row>
    <row r="1070" spans="1:1" x14ac:dyDescent="0.45">
      <c r="A1070" s="1">
        <v>46085</v>
      </c>
    </row>
    <row r="1071" spans="1:1" x14ac:dyDescent="0.45">
      <c r="A1071" s="1">
        <v>46086</v>
      </c>
    </row>
    <row r="1072" spans="1:1" x14ac:dyDescent="0.45">
      <c r="A1072" s="1">
        <v>46087</v>
      </c>
    </row>
    <row r="1073" spans="1:1" x14ac:dyDescent="0.45">
      <c r="A1073" s="1">
        <v>46088</v>
      </c>
    </row>
    <row r="1074" spans="1:1" x14ac:dyDescent="0.45">
      <c r="A1074" s="1">
        <v>46089</v>
      </c>
    </row>
    <row r="1075" spans="1:1" x14ac:dyDescent="0.45">
      <c r="A1075" s="1">
        <v>46090</v>
      </c>
    </row>
    <row r="1076" spans="1:1" x14ac:dyDescent="0.45">
      <c r="A1076" s="1">
        <v>46091</v>
      </c>
    </row>
    <row r="1077" spans="1:1" x14ac:dyDescent="0.45">
      <c r="A1077" s="1">
        <v>46092</v>
      </c>
    </row>
    <row r="1078" spans="1:1" x14ac:dyDescent="0.45">
      <c r="A1078" s="1">
        <v>46093</v>
      </c>
    </row>
    <row r="1079" spans="1:1" x14ac:dyDescent="0.45">
      <c r="A1079" s="1">
        <v>46094</v>
      </c>
    </row>
    <row r="1080" spans="1:1" x14ac:dyDescent="0.45">
      <c r="A1080" s="1">
        <v>46095</v>
      </c>
    </row>
    <row r="1081" spans="1:1" x14ac:dyDescent="0.45">
      <c r="A1081" s="1">
        <v>46096</v>
      </c>
    </row>
    <row r="1082" spans="1:1" x14ac:dyDescent="0.45">
      <c r="A1082" s="1">
        <v>46097</v>
      </c>
    </row>
    <row r="1083" spans="1:1" x14ac:dyDescent="0.45">
      <c r="A1083" s="1">
        <v>46098</v>
      </c>
    </row>
    <row r="1084" spans="1:1" x14ac:dyDescent="0.45">
      <c r="A1084" s="1">
        <v>46099</v>
      </c>
    </row>
    <row r="1085" spans="1:1" x14ac:dyDescent="0.45">
      <c r="A1085" s="1">
        <v>46100</v>
      </c>
    </row>
    <row r="1086" spans="1:1" x14ac:dyDescent="0.45">
      <c r="A1086" s="1">
        <v>46101</v>
      </c>
    </row>
    <row r="1087" spans="1:1" x14ac:dyDescent="0.45">
      <c r="A1087" s="1">
        <v>46102</v>
      </c>
    </row>
    <row r="1088" spans="1:1" x14ac:dyDescent="0.45">
      <c r="A1088" s="1">
        <v>46103</v>
      </c>
    </row>
    <row r="1089" spans="1:1" x14ac:dyDescent="0.45">
      <c r="A1089" s="1">
        <v>46104</v>
      </c>
    </row>
    <row r="1090" spans="1:1" x14ac:dyDescent="0.45">
      <c r="A1090" s="1">
        <v>46105</v>
      </c>
    </row>
    <row r="1091" spans="1:1" x14ac:dyDescent="0.45">
      <c r="A1091" s="1">
        <v>46106</v>
      </c>
    </row>
    <row r="1092" spans="1:1" x14ac:dyDescent="0.45">
      <c r="A1092" s="1">
        <v>46107</v>
      </c>
    </row>
    <row r="1093" spans="1:1" x14ac:dyDescent="0.45">
      <c r="A1093" s="1">
        <v>46108</v>
      </c>
    </row>
    <row r="1094" spans="1:1" x14ac:dyDescent="0.45">
      <c r="A1094" s="1">
        <v>46109</v>
      </c>
    </row>
    <row r="1095" spans="1:1" x14ac:dyDescent="0.45">
      <c r="A1095" s="1">
        <v>46110</v>
      </c>
    </row>
    <row r="1096" spans="1:1" x14ac:dyDescent="0.45">
      <c r="A1096" s="1">
        <v>46111</v>
      </c>
    </row>
    <row r="1097" spans="1:1" x14ac:dyDescent="0.45">
      <c r="A1097" s="1">
        <v>46112</v>
      </c>
    </row>
    <row r="1098" spans="1:1" x14ac:dyDescent="0.45">
      <c r="A1098" s="1">
        <v>46113</v>
      </c>
    </row>
    <row r="1099" spans="1:1" x14ac:dyDescent="0.45">
      <c r="A1099" s="1">
        <v>46114</v>
      </c>
    </row>
    <row r="1100" spans="1:1" x14ac:dyDescent="0.45">
      <c r="A1100" s="1">
        <v>46115</v>
      </c>
    </row>
    <row r="1101" spans="1:1" x14ac:dyDescent="0.45">
      <c r="A1101" s="1">
        <v>46116</v>
      </c>
    </row>
    <row r="1102" spans="1:1" x14ac:dyDescent="0.45">
      <c r="A1102" s="1">
        <v>46117</v>
      </c>
    </row>
    <row r="1103" spans="1:1" x14ac:dyDescent="0.45">
      <c r="A1103" s="1">
        <v>46118</v>
      </c>
    </row>
    <row r="1104" spans="1:1" x14ac:dyDescent="0.45">
      <c r="A1104" s="1">
        <v>46119</v>
      </c>
    </row>
    <row r="1105" spans="1:1" x14ac:dyDescent="0.45">
      <c r="A1105" s="1">
        <v>46120</v>
      </c>
    </row>
    <row r="1106" spans="1:1" x14ac:dyDescent="0.45">
      <c r="A1106" s="1">
        <v>46121</v>
      </c>
    </row>
    <row r="1107" spans="1:1" x14ac:dyDescent="0.45">
      <c r="A1107" s="1">
        <v>46122</v>
      </c>
    </row>
    <row r="1108" spans="1:1" x14ac:dyDescent="0.45">
      <c r="A1108" s="1">
        <v>46123</v>
      </c>
    </row>
    <row r="1109" spans="1:1" x14ac:dyDescent="0.45">
      <c r="A1109" s="1">
        <v>46124</v>
      </c>
    </row>
    <row r="1110" spans="1:1" x14ac:dyDescent="0.45">
      <c r="A1110" s="1">
        <v>46125</v>
      </c>
    </row>
    <row r="1111" spans="1:1" x14ac:dyDescent="0.45">
      <c r="A1111" s="1">
        <v>46126</v>
      </c>
    </row>
    <row r="1112" spans="1:1" x14ac:dyDescent="0.45">
      <c r="A1112" s="1">
        <v>46127</v>
      </c>
    </row>
    <row r="1113" spans="1:1" x14ac:dyDescent="0.45">
      <c r="A1113" s="1">
        <v>46128</v>
      </c>
    </row>
    <row r="1114" spans="1:1" x14ac:dyDescent="0.45">
      <c r="A1114" s="1">
        <v>46129</v>
      </c>
    </row>
    <row r="1115" spans="1:1" x14ac:dyDescent="0.45">
      <c r="A1115" s="1">
        <v>46130</v>
      </c>
    </row>
    <row r="1116" spans="1:1" x14ac:dyDescent="0.45">
      <c r="A1116" s="1">
        <v>46131</v>
      </c>
    </row>
    <row r="1117" spans="1:1" x14ac:dyDescent="0.45">
      <c r="A1117" s="1">
        <v>46132</v>
      </c>
    </row>
    <row r="1118" spans="1:1" x14ac:dyDescent="0.45">
      <c r="A1118" s="1">
        <v>46133</v>
      </c>
    </row>
    <row r="1119" spans="1:1" x14ac:dyDescent="0.45">
      <c r="A1119" s="1">
        <v>46134</v>
      </c>
    </row>
    <row r="1120" spans="1:1" x14ac:dyDescent="0.45">
      <c r="A1120" s="1">
        <v>46135</v>
      </c>
    </row>
    <row r="1121" spans="1:1" x14ac:dyDescent="0.45">
      <c r="A1121" s="1">
        <v>46136</v>
      </c>
    </row>
    <row r="1122" spans="1:1" x14ac:dyDescent="0.45">
      <c r="A1122" s="1">
        <v>46137</v>
      </c>
    </row>
    <row r="1123" spans="1:1" x14ac:dyDescent="0.45">
      <c r="A1123" s="1">
        <v>46138</v>
      </c>
    </row>
    <row r="1124" spans="1:1" x14ac:dyDescent="0.45">
      <c r="A1124" s="1">
        <v>46139</v>
      </c>
    </row>
    <row r="1125" spans="1:1" x14ac:dyDescent="0.45">
      <c r="A1125" s="1">
        <v>46140</v>
      </c>
    </row>
    <row r="1126" spans="1:1" x14ac:dyDescent="0.45">
      <c r="A1126" s="1">
        <v>46141</v>
      </c>
    </row>
    <row r="1127" spans="1:1" x14ac:dyDescent="0.45">
      <c r="A1127" s="1">
        <v>46142</v>
      </c>
    </row>
    <row r="1128" spans="1:1" x14ac:dyDescent="0.45">
      <c r="A1128" s="1">
        <v>46143</v>
      </c>
    </row>
    <row r="1129" spans="1:1" x14ac:dyDescent="0.45">
      <c r="A1129" s="1">
        <v>46144</v>
      </c>
    </row>
    <row r="1130" spans="1:1" x14ac:dyDescent="0.45">
      <c r="A1130" s="1">
        <v>46145</v>
      </c>
    </row>
    <row r="1131" spans="1:1" x14ac:dyDescent="0.45">
      <c r="A1131" s="1">
        <v>46146</v>
      </c>
    </row>
    <row r="1132" spans="1:1" x14ac:dyDescent="0.45">
      <c r="A1132" s="1">
        <v>46147</v>
      </c>
    </row>
    <row r="1133" spans="1:1" x14ac:dyDescent="0.45">
      <c r="A1133" s="1">
        <v>46148</v>
      </c>
    </row>
    <row r="1134" spans="1:1" x14ac:dyDescent="0.45">
      <c r="A1134" s="1">
        <v>46149</v>
      </c>
    </row>
    <row r="1135" spans="1:1" x14ac:dyDescent="0.45">
      <c r="A1135" s="1">
        <v>46150</v>
      </c>
    </row>
    <row r="1136" spans="1:1" x14ac:dyDescent="0.45">
      <c r="A1136" s="1">
        <v>46151</v>
      </c>
    </row>
    <row r="1137" spans="1:1" x14ac:dyDescent="0.45">
      <c r="A1137" s="1">
        <v>46152</v>
      </c>
    </row>
    <row r="1138" spans="1:1" x14ac:dyDescent="0.45">
      <c r="A1138" s="1">
        <v>46153</v>
      </c>
    </row>
    <row r="1139" spans="1:1" x14ac:dyDescent="0.45">
      <c r="A1139" s="1">
        <v>46154</v>
      </c>
    </row>
    <row r="1140" spans="1:1" x14ac:dyDescent="0.45">
      <c r="A1140" s="1">
        <v>46155</v>
      </c>
    </row>
    <row r="1141" spans="1:1" x14ac:dyDescent="0.45">
      <c r="A1141" s="1">
        <v>46156</v>
      </c>
    </row>
    <row r="1142" spans="1:1" x14ac:dyDescent="0.45">
      <c r="A1142" s="1">
        <v>46157</v>
      </c>
    </row>
    <row r="1143" spans="1:1" x14ac:dyDescent="0.45">
      <c r="A1143" s="1">
        <v>46158</v>
      </c>
    </row>
    <row r="1144" spans="1:1" x14ac:dyDescent="0.45">
      <c r="A1144" s="1">
        <v>46159</v>
      </c>
    </row>
    <row r="1145" spans="1:1" x14ac:dyDescent="0.45">
      <c r="A1145" s="1">
        <v>46160</v>
      </c>
    </row>
    <row r="1146" spans="1:1" x14ac:dyDescent="0.45">
      <c r="A1146" s="1">
        <v>46161</v>
      </c>
    </row>
    <row r="1147" spans="1:1" x14ac:dyDescent="0.45">
      <c r="A1147" s="1">
        <v>46162</v>
      </c>
    </row>
    <row r="1148" spans="1:1" x14ac:dyDescent="0.45">
      <c r="A1148" s="1">
        <v>46163</v>
      </c>
    </row>
    <row r="1149" spans="1:1" x14ac:dyDescent="0.45">
      <c r="A1149" s="1">
        <v>46164</v>
      </c>
    </row>
    <row r="1150" spans="1:1" x14ac:dyDescent="0.45">
      <c r="A1150" s="1">
        <v>46165</v>
      </c>
    </row>
    <row r="1151" spans="1:1" x14ac:dyDescent="0.45">
      <c r="A1151" s="1">
        <v>46166</v>
      </c>
    </row>
    <row r="1152" spans="1:1" x14ac:dyDescent="0.45">
      <c r="A1152" s="1">
        <v>46167</v>
      </c>
    </row>
    <row r="1153" spans="1:1" x14ac:dyDescent="0.45">
      <c r="A1153" s="1">
        <v>46168</v>
      </c>
    </row>
    <row r="1154" spans="1:1" x14ac:dyDescent="0.45">
      <c r="A1154" s="1">
        <v>46169</v>
      </c>
    </row>
    <row r="1155" spans="1:1" x14ac:dyDescent="0.45">
      <c r="A1155" s="1">
        <v>46170</v>
      </c>
    </row>
    <row r="1156" spans="1:1" x14ac:dyDescent="0.45">
      <c r="A1156" s="1">
        <v>46171</v>
      </c>
    </row>
    <row r="1157" spans="1:1" x14ac:dyDescent="0.45">
      <c r="A1157" s="1">
        <v>46172</v>
      </c>
    </row>
    <row r="1158" spans="1:1" x14ac:dyDescent="0.45">
      <c r="A1158" s="1">
        <v>46173</v>
      </c>
    </row>
    <row r="1159" spans="1:1" x14ac:dyDescent="0.45">
      <c r="A1159" s="1">
        <v>46174</v>
      </c>
    </row>
    <row r="1160" spans="1:1" x14ac:dyDescent="0.45">
      <c r="A1160" s="1">
        <v>46175</v>
      </c>
    </row>
    <row r="1161" spans="1:1" x14ac:dyDescent="0.45">
      <c r="A1161" s="1">
        <v>46176</v>
      </c>
    </row>
    <row r="1162" spans="1:1" x14ac:dyDescent="0.45">
      <c r="A1162" s="1">
        <v>46177</v>
      </c>
    </row>
    <row r="1163" spans="1:1" x14ac:dyDescent="0.45">
      <c r="A1163" s="1">
        <v>46178</v>
      </c>
    </row>
    <row r="1164" spans="1:1" x14ac:dyDescent="0.45">
      <c r="A1164" s="1">
        <v>46179</v>
      </c>
    </row>
    <row r="1165" spans="1:1" x14ac:dyDescent="0.45">
      <c r="A1165" s="1">
        <v>46180</v>
      </c>
    </row>
    <row r="1166" spans="1:1" x14ac:dyDescent="0.45">
      <c r="A1166" s="1">
        <v>46181</v>
      </c>
    </row>
    <row r="1167" spans="1:1" x14ac:dyDescent="0.45">
      <c r="A1167" s="1">
        <v>46182</v>
      </c>
    </row>
    <row r="1168" spans="1:1" x14ac:dyDescent="0.45">
      <c r="A1168" s="1">
        <v>46183</v>
      </c>
    </row>
    <row r="1169" spans="1:1" x14ac:dyDescent="0.45">
      <c r="A1169" s="1">
        <v>46184</v>
      </c>
    </row>
    <row r="1170" spans="1:1" x14ac:dyDescent="0.45">
      <c r="A1170" s="1">
        <v>46185</v>
      </c>
    </row>
    <row r="1171" spans="1:1" x14ac:dyDescent="0.45">
      <c r="A1171" s="1">
        <v>46186</v>
      </c>
    </row>
    <row r="1172" spans="1:1" x14ac:dyDescent="0.45">
      <c r="A1172" s="1">
        <v>46187</v>
      </c>
    </row>
    <row r="1173" spans="1:1" x14ac:dyDescent="0.45">
      <c r="A1173" s="1">
        <v>46188</v>
      </c>
    </row>
    <row r="1174" spans="1:1" x14ac:dyDescent="0.45">
      <c r="A1174" s="1">
        <v>46189</v>
      </c>
    </row>
    <row r="1175" spans="1:1" x14ac:dyDescent="0.45">
      <c r="A1175" s="1">
        <v>46190</v>
      </c>
    </row>
    <row r="1176" spans="1:1" x14ac:dyDescent="0.45">
      <c r="A1176" s="1">
        <v>46191</v>
      </c>
    </row>
    <row r="1177" spans="1:1" x14ac:dyDescent="0.45">
      <c r="A1177" s="1">
        <v>46192</v>
      </c>
    </row>
    <row r="1178" spans="1:1" x14ac:dyDescent="0.45">
      <c r="A1178" s="1">
        <v>46193</v>
      </c>
    </row>
    <row r="1179" spans="1:1" x14ac:dyDescent="0.45">
      <c r="A1179" s="1">
        <v>46194</v>
      </c>
    </row>
    <row r="1180" spans="1:1" x14ac:dyDescent="0.45">
      <c r="A1180" s="1">
        <v>46195</v>
      </c>
    </row>
    <row r="1181" spans="1:1" x14ac:dyDescent="0.45">
      <c r="A1181" s="1">
        <v>46196</v>
      </c>
    </row>
    <row r="1182" spans="1:1" x14ac:dyDescent="0.45">
      <c r="A1182" s="1">
        <v>46197</v>
      </c>
    </row>
    <row r="1183" spans="1:1" x14ac:dyDescent="0.45">
      <c r="A1183" s="1">
        <v>46198</v>
      </c>
    </row>
    <row r="1184" spans="1:1" x14ac:dyDescent="0.45">
      <c r="A1184" s="1">
        <v>46199</v>
      </c>
    </row>
    <row r="1185" spans="1:1" x14ac:dyDescent="0.45">
      <c r="A1185" s="1">
        <v>46200</v>
      </c>
    </row>
    <row r="1186" spans="1:1" x14ac:dyDescent="0.45">
      <c r="A1186" s="1">
        <v>46201</v>
      </c>
    </row>
    <row r="1187" spans="1:1" x14ac:dyDescent="0.45">
      <c r="A1187" s="1">
        <v>46202</v>
      </c>
    </row>
    <row r="1188" spans="1:1" x14ac:dyDescent="0.45">
      <c r="A1188" s="1">
        <v>46203</v>
      </c>
    </row>
    <row r="1189" spans="1:1" x14ac:dyDescent="0.45">
      <c r="A1189" s="1">
        <v>46204</v>
      </c>
    </row>
    <row r="1190" spans="1:1" x14ac:dyDescent="0.45">
      <c r="A1190" s="1">
        <v>46205</v>
      </c>
    </row>
    <row r="1191" spans="1:1" x14ac:dyDescent="0.45">
      <c r="A1191" s="1">
        <v>46206</v>
      </c>
    </row>
    <row r="1192" spans="1:1" x14ac:dyDescent="0.45">
      <c r="A1192" s="1">
        <v>46207</v>
      </c>
    </row>
    <row r="1193" spans="1:1" x14ac:dyDescent="0.45">
      <c r="A1193" s="1">
        <v>46208</v>
      </c>
    </row>
    <row r="1194" spans="1:1" x14ac:dyDescent="0.45">
      <c r="A1194" s="1">
        <v>46209</v>
      </c>
    </row>
    <row r="1195" spans="1:1" x14ac:dyDescent="0.45">
      <c r="A1195" s="1">
        <v>46210</v>
      </c>
    </row>
    <row r="1196" spans="1:1" x14ac:dyDescent="0.45">
      <c r="A1196" s="1">
        <v>46211</v>
      </c>
    </row>
    <row r="1197" spans="1:1" x14ac:dyDescent="0.45">
      <c r="A1197" s="1">
        <v>46212</v>
      </c>
    </row>
    <row r="1198" spans="1:1" x14ac:dyDescent="0.45">
      <c r="A1198" s="1">
        <v>46213</v>
      </c>
    </row>
    <row r="1199" spans="1:1" x14ac:dyDescent="0.45">
      <c r="A1199" s="1">
        <v>46214</v>
      </c>
    </row>
    <row r="1200" spans="1:1" x14ac:dyDescent="0.45">
      <c r="A1200" s="1">
        <v>46215</v>
      </c>
    </row>
    <row r="1201" spans="1:1" x14ac:dyDescent="0.45">
      <c r="A1201" s="1">
        <v>46216</v>
      </c>
    </row>
    <row r="1202" spans="1:1" x14ac:dyDescent="0.45">
      <c r="A1202" s="1">
        <v>46217</v>
      </c>
    </row>
    <row r="1203" spans="1:1" x14ac:dyDescent="0.45">
      <c r="A1203" s="1">
        <v>46218</v>
      </c>
    </row>
    <row r="1204" spans="1:1" x14ac:dyDescent="0.45">
      <c r="A1204" s="1">
        <v>46219</v>
      </c>
    </row>
    <row r="1205" spans="1:1" x14ac:dyDescent="0.45">
      <c r="A1205" s="1">
        <v>46220</v>
      </c>
    </row>
    <row r="1206" spans="1:1" x14ac:dyDescent="0.45">
      <c r="A1206" s="1">
        <v>46221</v>
      </c>
    </row>
    <row r="1207" spans="1:1" x14ac:dyDescent="0.45">
      <c r="A1207" s="1">
        <v>46222</v>
      </c>
    </row>
    <row r="1208" spans="1:1" x14ac:dyDescent="0.45">
      <c r="A1208" s="1">
        <v>46223</v>
      </c>
    </row>
    <row r="1209" spans="1:1" x14ac:dyDescent="0.45">
      <c r="A1209" s="1">
        <v>46224</v>
      </c>
    </row>
    <row r="1210" spans="1:1" x14ac:dyDescent="0.45">
      <c r="A1210" s="1">
        <v>46225</v>
      </c>
    </row>
    <row r="1211" spans="1:1" x14ac:dyDescent="0.45">
      <c r="A1211" s="1">
        <v>46226</v>
      </c>
    </row>
    <row r="1212" spans="1:1" x14ac:dyDescent="0.45">
      <c r="A1212" s="1">
        <v>46227</v>
      </c>
    </row>
    <row r="1213" spans="1:1" x14ac:dyDescent="0.45">
      <c r="A1213" s="1">
        <v>46228</v>
      </c>
    </row>
    <row r="1214" spans="1:1" x14ac:dyDescent="0.45">
      <c r="A1214" s="1">
        <v>46229</v>
      </c>
    </row>
    <row r="1215" spans="1:1" x14ac:dyDescent="0.45">
      <c r="A1215" s="1">
        <v>46230</v>
      </c>
    </row>
    <row r="1216" spans="1:1" x14ac:dyDescent="0.45">
      <c r="A1216" s="1">
        <v>46231</v>
      </c>
    </row>
    <row r="1217" spans="1:1" x14ac:dyDescent="0.45">
      <c r="A1217" s="1">
        <v>46232</v>
      </c>
    </row>
    <row r="1218" spans="1:1" x14ac:dyDescent="0.45">
      <c r="A1218" s="1">
        <v>46233</v>
      </c>
    </row>
    <row r="1219" spans="1:1" x14ac:dyDescent="0.45">
      <c r="A1219" s="1">
        <v>46234</v>
      </c>
    </row>
    <row r="1220" spans="1:1" x14ac:dyDescent="0.45">
      <c r="A1220" s="1">
        <v>46235</v>
      </c>
    </row>
    <row r="1221" spans="1:1" x14ac:dyDescent="0.45">
      <c r="A1221" s="1">
        <v>46236</v>
      </c>
    </row>
    <row r="1222" spans="1:1" x14ac:dyDescent="0.45">
      <c r="A1222" s="1">
        <v>46237</v>
      </c>
    </row>
    <row r="1223" spans="1:1" x14ac:dyDescent="0.45">
      <c r="A1223" s="1">
        <v>46238</v>
      </c>
    </row>
    <row r="1224" spans="1:1" x14ac:dyDescent="0.45">
      <c r="A1224" s="1">
        <v>46239</v>
      </c>
    </row>
    <row r="1225" spans="1:1" x14ac:dyDescent="0.45">
      <c r="A1225" s="1">
        <v>46240</v>
      </c>
    </row>
    <row r="1226" spans="1:1" x14ac:dyDescent="0.45">
      <c r="A1226" s="1">
        <v>46241</v>
      </c>
    </row>
    <row r="1227" spans="1:1" x14ac:dyDescent="0.45">
      <c r="A1227" s="1">
        <v>46242</v>
      </c>
    </row>
    <row r="1228" spans="1:1" x14ac:dyDescent="0.45">
      <c r="A1228" s="1">
        <v>46243</v>
      </c>
    </row>
    <row r="1229" spans="1:1" x14ac:dyDescent="0.45">
      <c r="A1229" s="1">
        <v>46244</v>
      </c>
    </row>
    <row r="1230" spans="1:1" x14ac:dyDescent="0.45">
      <c r="A1230" s="1">
        <v>46245</v>
      </c>
    </row>
    <row r="1231" spans="1:1" x14ac:dyDescent="0.45">
      <c r="A1231" s="1">
        <v>46246</v>
      </c>
    </row>
    <row r="1232" spans="1:1" x14ac:dyDescent="0.45">
      <c r="A1232" s="1">
        <v>46247</v>
      </c>
    </row>
    <row r="1233" spans="1:1" x14ac:dyDescent="0.45">
      <c r="A1233" s="1">
        <v>46248</v>
      </c>
    </row>
    <row r="1234" spans="1:1" x14ac:dyDescent="0.45">
      <c r="A1234" s="1">
        <v>46249</v>
      </c>
    </row>
    <row r="1235" spans="1:1" x14ac:dyDescent="0.45">
      <c r="A1235" s="1">
        <v>46250</v>
      </c>
    </row>
    <row r="1236" spans="1:1" x14ac:dyDescent="0.45">
      <c r="A1236" s="1">
        <v>46251</v>
      </c>
    </row>
    <row r="1237" spans="1:1" x14ac:dyDescent="0.45">
      <c r="A1237" s="1">
        <v>46252</v>
      </c>
    </row>
    <row r="1238" spans="1:1" x14ac:dyDescent="0.45">
      <c r="A1238" s="1">
        <v>46253</v>
      </c>
    </row>
    <row r="1239" spans="1:1" x14ac:dyDescent="0.45">
      <c r="A1239" s="1">
        <v>46254</v>
      </c>
    </row>
    <row r="1240" spans="1:1" x14ac:dyDescent="0.45">
      <c r="A1240" s="1">
        <v>46255</v>
      </c>
    </row>
    <row r="1241" spans="1:1" x14ac:dyDescent="0.45">
      <c r="A1241" s="1">
        <v>46256</v>
      </c>
    </row>
    <row r="1242" spans="1:1" x14ac:dyDescent="0.45">
      <c r="A1242" s="1">
        <v>46257</v>
      </c>
    </row>
    <row r="1243" spans="1:1" x14ac:dyDescent="0.45">
      <c r="A1243" s="1">
        <v>46258</v>
      </c>
    </row>
    <row r="1244" spans="1:1" x14ac:dyDescent="0.45">
      <c r="A1244" s="1">
        <v>46259</v>
      </c>
    </row>
    <row r="1245" spans="1:1" x14ac:dyDescent="0.45">
      <c r="A1245" s="1">
        <v>46260</v>
      </c>
    </row>
    <row r="1246" spans="1:1" x14ac:dyDescent="0.45">
      <c r="A1246" s="1">
        <v>46261</v>
      </c>
    </row>
    <row r="1247" spans="1:1" x14ac:dyDescent="0.45">
      <c r="A1247" s="1">
        <v>46262</v>
      </c>
    </row>
    <row r="1248" spans="1:1" x14ac:dyDescent="0.45">
      <c r="A1248" s="1">
        <v>46263</v>
      </c>
    </row>
    <row r="1249" spans="1:1" x14ac:dyDescent="0.45">
      <c r="A1249" s="1">
        <v>46264</v>
      </c>
    </row>
    <row r="1250" spans="1:1" x14ac:dyDescent="0.45">
      <c r="A1250" s="1">
        <v>46265</v>
      </c>
    </row>
    <row r="1251" spans="1:1" x14ac:dyDescent="0.45">
      <c r="A1251" s="1">
        <v>46266</v>
      </c>
    </row>
    <row r="1252" spans="1:1" x14ac:dyDescent="0.45">
      <c r="A1252" s="1">
        <v>46267</v>
      </c>
    </row>
    <row r="1253" spans="1:1" x14ac:dyDescent="0.45">
      <c r="A1253" s="1">
        <v>46268</v>
      </c>
    </row>
    <row r="1254" spans="1:1" x14ac:dyDescent="0.45">
      <c r="A1254" s="1">
        <v>46269</v>
      </c>
    </row>
    <row r="1255" spans="1:1" x14ac:dyDescent="0.45">
      <c r="A1255" s="1">
        <v>46270</v>
      </c>
    </row>
    <row r="1256" spans="1:1" x14ac:dyDescent="0.45">
      <c r="A1256" s="1">
        <v>46271</v>
      </c>
    </row>
    <row r="1257" spans="1:1" x14ac:dyDescent="0.45">
      <c r="A1257" s="1">
        <v>46272</v>
      </c>
    </row>
    <row r="1258" spans="1:1" x14ac:dyDescent="0.45">
      <c r="A1258" s="1">
        <v>46273</v>
      </c>
    </row>
    <row r="1259" spans="1:1" x14ac:dyDescent="0.45">
      <c r="A1259" s="1">
        <v>46274</v>
      </c>
    </row>
    <row r="1260" spans="1:1" x14ac:dyDescent="0.45">
      <c r="A1260" s="1">
        <v>46275</v>
      </c>
    </row>
    <row r="1261" spans="1:1" x14ac:dyDescent="0.45">
      <c r="A1261" s="1">
        <v>46276</v>
      </c>
    </row>
    <row r="1262" spans="1:1" x14ac:dyDescent="0.45">
      <c r="A1262" s="1">
        <v>46277</v>
      </c>
    </row>
    <row r="1263" spans="1:1" x14ac:dyDescent="0.45">
      <c r="A1263" s="1">
        <v>46278</v>
      </c>
    </row>
    <row r="1264" spans="1:1" x14ac:dyDescent="0.45">
      <c r="A1264" s="1">
        <v>46279</v>
      </c>
    </row>
    <row r="1265" spans="1:1" x14ac:dyDescent="0.45">
      <c r="A1265" s="1">
        <v>46280</v>
      </c>
    </row>
    <row r="1266" spans="1:1" x14ac:dyDescent="0.45">
      <c r="A1266" s="1">
        <v>46281</v>
      </c>
    </row>
    <row r="1267" spans="1:1" x14ac:dyDescent="0.45">
      <c r="A1267" s="1">
        <v>46282</v>
      </c>
    </row>
    <row r="1268" spans="1:1" x14ac:dyDescent="0.45">
      <c r="A1268" s="1">
        <v>46283</v>
      </c>
    </row>
    <row r="1269" spans="1:1" x14ac:dyDescent="0.45">
      <c r="A1269" s="1">
        <v>46284</v>
      </c>
    </row>
    <row r="1270" spans="1:1" x14ac:dyDescent="0.45">
      <c r="A1270" s="1">
        <v>46285</v>
      </c>
    </row>
    <row r="1271" spans="1:1" x14ac:dyDescent="0.45">
      <c r="A1271" s="1">
        <v>46286</v>
      </c>
    </row>
    <row r="1272" spans="1:1" x14ac:dyDescent="0.45">
      <c r="A1272" s="1">
        <v>46287</v>
      </c>
    </row>
    <row r="1273" spans="1:1" x14ac:dyDescent="0.45">
      <c r="A1273" s="1">
        <v>46288</v>
      </c>
    </row>
    <row r="1274" spans="1:1" x14ac:dyDescent="0.45">
      <c r="A1274" s="1">
        <v>46289</v>
      </c>
    </row>
    <row r="1275" spans="1:1" x14ac:dyDescent="0.45">
      <c r="A1275" s="1">
        <v>46290</v>
      </c>
    </row>
    <row r="1276" spans="1:1" x14ac:dyDescent="0.45">
      <c r="A1276" s="1">
        <v>46291</v>
      </c>
    </row>
    <row r="1277" spans="1:1" x14ac:dyDescent="0.45">
      <c r="A1277" s="1">
        <v>46292</v>
      </c>
    </row>
    <row r="1278" spans="1:1" x14ac:dyDescent="0.45">
      <c r="A1278" s="1">
        <v>46293</v>
      </c>
    </row>
    <row r="1279" spans="1:1" x14ac:dyDescent="0.45">
      <c r="A1279" s="1">
        <v>46294</v>
      </c>
    </row>
    <row r="1280" spans="1:1" x14ac:dyDescent="0.45">
      <c r="A1280" s="1">
        <v>46295</v>
      </c>
    </row>
    <row r="1281" spans="1:1" x14ac:dyDescent="0.45">
      <c r="A1281" s="1">
        <v>46296</v>
      </c>
    </row>
    <row r="1282" spans="1:1" x14ac:dyDescent="0.45">
      <c r="A1282" s="1">
        <v>46297</v>
      </c>
    </row>
    <row r="1283" spans="1:1" x14ac:dyDescent="0.45">
      <c r="A1283" s="1">
        <v>46298</v>
      </c>
    </row>
    <row r="1284" spans="1:1" x14ac:dyDescent="0.45">
      <c r="A1284" s="1">
        <v>46299</v>
      </c>
    </row>
    <row r="1285" spans="1:1" x14ac:dyDescent="0.45">
      <c r="A1285" s="1">
        <v>46300</v>
      </c>
    </row>
    <row r="1286" spans="1:1" x14ac:dyDescent="0.45">
      <c r="A1286" s="1">
        <v>46301</v>
      </c>
    </row>
    <row r="1287" spans="1:1" x14ac:dyDescent="0.45">
      <c r="A1287" s="1">
        <v>46302</v>
      </c>
    </row>
    <row r="1288" spans="1:1" x14ac:dyDescent="0.45">
      <c r="A1288" s="1">
        <v>46303</v>
      </c>
    </row>
    <row r="1289" spans="1:1" x14ac:dyDescent="0.45">
      <c r="A1289" s="1">
        <v>46304</v>
      </c>
    </row>
    <row r="1290" spans="1:1" x14ac:dyDescent="0.45">
      <c r="A1290" s="1">
        <v>46305</v>
      </c>
    </row>
    <row r="1291" spans="1:1" x14ac:dyDescent="0.45">
      <c r="A1291" s="1">
        <v>46306</v>
      </c>
    </row>
    <row r="1292" spans="1:1" x14ac:dyDescent="0.45">
      <c r="A1292" s="1">
        <v>46307</v>
      </c>
    </row>
    <row r="1293" spans="1:1" x14ac:dyDescent="0.45">
      <c r="A1293" s="1">
        <v>46308</v>
      </c>
    </row>
    <row r="1294" spans="1:1" x14ac:dyDescent="0.45">
      <c r="A1294" s="1">
        <v>46309</v>
      </c>
    </row>
    <row r="1295" spans="1:1" x14ac:dyDescent="0.45">
      <c r="A1295" s="1">
        <v>46310</v>
      </c>
    </row>
    <row r="1296" spans="1:1" x14ac:dyDescent="0.45">
      <c r="A1296" s="1">
        <v>46311</v>
      </c>
    </row>
    <row r="1297" spans="1:1" x14ac:dyDescent="0.45">
      <c r="A1297" s="1">
        <v>46312</v>
      </c>
    </row>
    <row r="1298" spans="1:1" x14ac:dyDescent="0.45">
      <c r="A1298" s="1">
        <v>46313</v>
      </c>
    </row>
    <row r="1299" spans="1:1" x14ac:dyDescent="0.45">
      <c r="A1299" s="1">
        <v>46314</v>
      </c>
    </row>
    <row r="1300" spans="1:1" x14ac:dyDescent="0.45">
      <c r="A1300" s="1">
        <v>46315</v>
      </c>
    </row>
    <row r="1301" spans="1:1" x14ac:dyDescent="0.45">
      <c r="A1301" s="1">
        <v>46316</v>
      </c>
    </row>
    <row r="1302" spans="1:1" x14ac:dyDescent="0.45">
      <c r="A1302" s="1">
        <v>46317</v>
      </c>
    </row>
    <row r="1303" spans="1:1" x14ac:dyDescent="0.45">
      <c r="A1303" s="1">
        <v>46318</v>
      </c>
    </row>
    <row r="1304" spans="1:1" x14ac:dyDescent="0.45">
      <c r="A1304" s="1">
        <v>46319</v>
      </c>
    </row>
    <row r="1305" spans="1:1" x14ac:dyDescent="0.45">
      <c r="A1305" s="1">
        <v>46320</v>
      </c>
    </row>
    <row r="1306" spans="1:1" x14ac:dyDescent="0.45">
      <c r="A1306" s="1">
        <v>46321</v>
      </c>
    </row>
    <row r="1307" spans="1:1" x14ac:dyDescent="0.45">
      <c r="A1307" s="1">
        <v>46322</v>
      </c>
    </row>
    <row r="1308" spans="1:1" x14ac:dyDescent="0.45">
      <c r="A1308" s="1">
        <v>46323</v>
      </c>
    </row>
    <row r="1309" spans="1:1" x14ac:dyDescent="0.45">
      <c r="A1309" s="1">
        <v>46324</v>
      </c>
    </row>
    <row r="1310" spans="1:1" x14ac:dyDescent="0.45">
      <c r="A1310" s="1">
        <v>46325</v>
      </c>
    </row>
    <row r="1311" spans="1:1" x14ac:dyDescent="0.45">
      <c r="A1311" s="1">
        <v>46326</v>
      </c>
    </row>
    <row r="1312" spans="1:1" x14ac:dyDescent="0.45">
      <c r="A1312" s="1">
        <v>46327</v>
      </c>
    </row>
    <row r="1313" spans="1:1" x14ac:dyDescent="0.45">
      <c r="A1313" s="1">
        <v>46328</v>
      </c>
    </row>
    <row r="1314" spans="1:1" x14ac:dyDescent="0.45">
      <c r="A1314" s="1">
        <v>46329</v>
      </c>
    </row>
    <row r="1315" spans="1:1" x14ac:dyDescent="0.45">
      <c r="A1315" s="1">
        <v>46330</v>
      </c>
    </row>
    <row r="1316" spans="1:1" x14ac:dyDescent="0.45">
      <c r="A1316" s="1">
        <v>46331</v>
      </c>
    </row>
    <row r="1317" spans="1:1" x14ac:dyDescent="0.45">
      <c r="A1317" s="1">
        <v>46332</v>
      </c>
    </row>
    <row r="1318" spans="1:1" x14ac:dyDescent="0.45">
      <c r="A1318" s="1">
        <v>46333</v>
      </c>
    </row>
    <row r="1319" spans="1:1" x14ac:dyDescent="0.45">
      <c r="A1319" s="1">
        <v>46334</v>
      </c>
    </row>
    <row r="1320" spans="1:1" x14ac:dyDescent="0.45">
      <c r="A1320" s="1">
        <v>46335</v>
      </c>
    </row>
    <row r="1321" spans="1:1" x14ac:dyDescent="0.45">
      <c r="A1321" s="1">
        <v>46336</v>
      </c>
    </row>
    <row r="1322" spans="1:1" x14ac:dyDescent="0.45">
      <c r="A1322" s="1">
        <v>46337</v>
      </c>
    </row>
    <row r="1323" spans="1:1" x14ac:dyDescent="0.45">
      <c r="A1323" s="1">
        <v>46338</v>
      </c>
    </row>
    <row r="1324" spans="1:1" x14ac:dyDescent="0.45">
      <c r="A1324" s="1">
        <v>46339</v>
      </c>
    </row>
    <row r="1325" spans="1:1" x14ac:dyDescent="0.45">
      <c r="A1325" s="1">
        <v>46340</v>
      </c>
    </row>
    <row r="1326" spans="1:1" x14ac:dyDescent="0.45">
      <c r="A1326" s="1">
        <v>46341</v>
      </c>
    </row>
    <row r="1327" spans="1:1" x14ac:dyDescent="0.45">
      <c r="A1327" s="1">
        <v>46342</v>
      </c>
    </row>
    <row r="1328" spans="1:1" x14ac:dyDescent="0.45">
      <c r="A1328" s="1">
        <v>46343</v>
      </c>
    </row>
    <row r="1329" spans="1:1" x14ac:dyDescent="0.45">
      <c r="A1329" s="1">
        <v>46344</v>
      </c>
    </row>
    <row r="1330" spans="1:1" x14ac:dyDescent="0.45">
      <c r="A1330" s="1">
        <v>46345</v>
      </c>
    </row>
    <row r="1331" spans="1:1" x14ac:dyDescent="0.45">
      <c r="A1331" s="1">
        <v>46346</v>
      </c>
    </row>
    <row r="1332" spans="1:1" x14ac:dyDescent="0.45">
      <c r="A1332" s="1">
        <v>46347</v>
      </c>
    </row>
    <row r="1333" spans="1:1" x14ac:dyDescent="0.45">
      <c r="A1333" s="1">
        <v>46348</v>
      </c>
    </row>
    <row r="1334" spans="1:1" x14ac:dyDescent="0.45">
      <c r="A1334" s="1">
        <v>46349</v>
      </c>
    </row>
    <row r="1335" spans="1:1" x14ac:dyDescent="0.45">
      <c r="A1335" s="1">
        <v>46350</v>
      </c>
    </row>
    <row r="1336" spans="1:1" x14ac:dyDescent="0.45">
      <c r="A1336" s="1">
        <v>46351</v>
      </c>
    </row>
    <row r="1337" spans="1:1" x14ac:dyDescent="0.45">
      <c r="A1337" s="1">
        <v>46352</v>
      </c>
    </row>
    <row r="1338" spans="1:1" x14ac:dyDescent="0.45">
      <c r="A1338" s="1">
        <v>46353</v>
      </c>
    </row>
    <row r="1339" spans="1:1" x14ac:dyDescent="0.45">
      <c r="A1339" s="1">
        <v>46354</v>
      </c>
    </row>
    <row r="1340" spans="1:1" x14ac:dyDescent="0.45">
      <c r="A1340" s="1">
        <v>46355</v>
      </c>
    </row>
    <row r="1341" spans="1:1" x14ac:dyDescent="0.45">
      <c r="A1341" s="1">
        <v>46356</v>
      </c>
    </row>
    <row r="1342" spans="1:1" x14ac:dyDescent="0.45">
      <c r="A1342" s="1">
        <v>46357</v>
      </c>
    </row>
    <row r="1343" spans="1:1" x14ac:dyDescent="0.45">
      <c r="A1343" s="1">
        <v>46358</v>
      </c>
    </row>
    <row r="1344" spans="1:1" x14ac:dyDescent="0.45">
      <c r="A1344" s="1">
        <v>46359</v>
      </c>
    </row>
    <row r="1345" spans="1:1" x14ac:dyDescent="0.45">
      <c r="A1345" s="1">
        <v>46360</v>
      </c>
    </row>
    <row r="1346" spans="1:1" x14ac:dyDescent="0.45">
      <c r="A1346" s="1">
        <v>46361</v>
      </c>
    </row>
    <row r="1347" spans="1:1" x14ac:dyDescent="0.45">
      <c r="A1347" s="1">
        <v>46362</v>
      </c>
    </row>
    <row r="1348" spans="1:1" x14ac:dyDescent="0.45">
      <c r="A1348" s="1">
        <v>46363</v>
      </c>
    </row>
    <row r="1349" spans="1:1" x14ac:dyDescent="0.45">
      <c r="A1349" s="1">
        <v>46364</v>
      </c>
    </row>
    <row r="1350" spans="1:1" x14ac:dyDescent="0.45">
      <c r="A1350" s="1">
        <v>46365</v>
      </c>
    </row>
    <row r="1351" spans="1:1" x14ac:dyDescent="0.45">
      <c r="A1351" s="1">
        <v>46366</v>
      </c>
    </row>
    <row r="1352" spans="1:1" x14ac:dyDescent="0.45">
      <c r="A1352" s="1">
        <v>46367</v>
      </c>
    </row>
    <row r="1353" spans="1:1" x14ac:dyDescent="0.45">
      <c r="A1353" s="1">
        <v>46368</v>
      </c>
    </row>
    <row r="1354" spans="1:1" x14ac:dyDescent="0.45">
      <c r="A1354" s="1">
        <v>46369</v>
      </c>
    </row>
    <row r="1355" spans="1:1" x14ac:dyDescent="0.45">
      <c r="A1355" s="1">
        <v>46370</v>
      </c>
    </row>
    <row r="1356" spans="1:1" x14ac:dyDescent="0.45">
      <c r="A1356" s="1">
        <v>46371</v>
      </c>
    </row>
    <row r="1357" spans="1:1" x14ac:dyDescent="0.45">
      <c r="A1357" s="1">
        <v>46372</v>
      </c>
    </row>
    <row r="1358" spans="1:1" x14ac:dyDescent="0.45">
      <c r="A1358" s="1">
        <v>46373</v>
      </c>
    </row>
    <row r="1359" spans="1:1" x14ac:dyDescent="0.45">
      <c r="A1359" s="1">
        <v>46374</v>
      </c>
    </row>
    <row r="1360" spans="1:1" x14ac:dyDescent="0.45">
      <c r="A1360" s="1">
        <v>46375</v>
      </c>
    </row>
    <row r="1361" spans="1:1" x14ac:dyDescent="0.45">
      <c r="A1361" s="1">
        <v>46376</v>
      </c>
    </row>
    <row r="1362" spans="1:1" x14ac:dyDescent="0.45">
      <c r="A1362" s="1">
        <v>46377</v>
      </c>
    </row>
    <row r="1363" spans="1:1" x14ac:dyDescent="0.45">
      <c r="A1363" s="1">
        <v>46378</v>
      </c>
    </row>
    <row r="1364" spans="1:1" x14ac:dyDescent="0.45">
      <c r="A1364" s="1">
        <v>46379</v>
      </c>
    </row>
    <row r="1365" spans="1:1" x14ac:dyDescent="0.45">
      <c r="A1365" s="1">
        <v>46380</v>
      </c>
    </row>
    <row r="1366" spans="1:1" x14ac:dyDescent="0.45">
      <c r="A1366" s="1">
        <v>46381</v>
      </c>
    </row>
    <row r="1367" spans="1:1" x14ac:dyDescent="0.45">
      <c r="A1367" s="1">
        <v>46382</v>
      </c>
    </row>
    <row r="1368" spans="1:1" x14ac:dyDescent="0.45">
      <c r="A1368" s="1">
        <v>46383</v>
      </c>
    </row>
    <row r="1369" spans="1:1" x14ac:dyDescent="0.45">
      <c r="A1369" s="1">
        <v>46384</v>
      </c>
    </row>
    <row r="1370" spans="1:1" x14ac:dyDescent="0.45">
      <c r="A1370" s="1">
        <v>46385</v>
      </c>
    </row>
    <row r="1371" spans="1:1" x14ac:dyDescent="0.45">
      <c r="A1371" s="1">
        <v>46386</v>
      </c>
    </row>
    <row r="1372" spans="1:1" x14ac:dyDescent="0.45">
      <c r="A1372" s="1">
        <v>46387</v>
      </c>
    </row>
    <row r="1373" spans="1:1" x14ac:dyDescent="0.45">
      <c r="A1373" s="1">
        <v>46388</v>
      </c>
    </row>
    <row r="1374" spans="1:1" x14ac:dyDescent="0.45">
      <c r="A1374" s="1">
        <v>46389</v>
      </c>
    </row>
    <row r="1375" spans="1:1" x14ac:dyDescent="0.45">
      <c r="A1375" s="1">
        <v>46390</v>
      </c>
    </row>
    <row r="1376" spans="1:1" x14ac:dyDescent="0.45">
      <c r="A1376" s="1">
        <v>46391</v>
      </c>
    </row>
    <row r="1377" spans="1:1" x14ac:dyDescent="0.45">
      <c r="A1377" s="1">
        <v>46392</v>
      </c>
    </row>
    <row r="1378" spans="1:1" x14ac:dyDescent="0.45">
      <c r="A1378" s="1">
        <v>46393</v>
      </c>
    </row>
    <row r="1379" spans="1:1" x14ac:dyDescent="0.45">
      <c r="A1379" s="1">
        <v>46394</v>
      </c>
    </row>
    <row r="1380" spans="1:1" x14ac:dyDescent="0.45">
      <c r="A1380" s="1">
        <v>46395</v>
      </c>
    </row>
    <row r="1381" spans="1:1" x14ac:dyDescent="0.45">
      <c r="A1381" s="1">
        <v>46396</v>
      </c>
    </row>
    <row r="1382" spans="1:1" x14ac:dyDescent="0.45">
      <c r="A1382" s="1">
        <v>46397</v>
      </c>
    </row>
    <row r="1383" spans="1:1" x14ac:dyDescent="0.45">
      <c r="A1383" s="1">
        <v>46398</v>
      </c>
    </row>
    <row r="1384" spans="1:1" x14ac:dyDescent="0.45">
      <c r="A1384" s="1">
        <v>46399</v>
      </c>
    </row>
    <row r="1385" spans="1:1" x14ac:dyDescent="0.45">
      <c r="A1385" s="1">
        <v>46400</v>
      </c>
    </row>
    <row r="1386" spans="1:1" x14ac:dyDescent="0.45">
      <c r="A1386" s="1">
        <v>46401</v>
      </c>
    </row>
    <row r="1387" spans="1:1" x14ac:dyDescent="0.45">
      <c r="A1387" s="1">
        <v>46402</v>
      </c>
    </row>
    <row r="1388" spans="1:1" x14ac:dyDescent="0.45">
      <c r="A1388" s="1">
        <v>46403</v>
      </c>
    </row>
    <row r="1389" spans="1:1" x14ac:dyDescent="0.45">
      <c r="A1389" s="1">
        <v>46404</v>
      </c>
    </row>
    <row r="1390" spans="1:1" x14ac:dyDescent="0.45">
      <c r="A1390" s="1">
        <v>46405</v>
      </c>
    </row>
    <row r="1391" spans="1:1" x14ac:dyDescent="0.45">
      <c r="A1391" s="1">
        <v>46406</v>
      </c>
    </row>
    <row r="1392" spans="1:1" x14ac:dyDescent="0.45">
      <c r="A1392" s="1">
        <v>46407</v>
      </c>
    </row>
    <row r="1393" spans="1:1" x14ac:dyDescent="0.45">
      <c r="A1393" s="1">
        <v>46408</v>
      </c>
    </row>
    <row r="1394" spans="1:1" x14ac:dyDescent="0.45">
      <c r="A1394" s="1">
        <v>46409</v>
      </c>
    </row>
    <row r="1395" spans="1:1" x14ac:dyDescent="0.45">
      <c r="A1395" s="1">
        <v>46410</v>
      </c>
    </row>
    <row r="1396" spans="1:1" x14ac:dyDescent="0.45">
      <c r="A1396" s="1">
        <v>46411</v>
      </c>
    </row>
    <row r="1397" spans="1:1" x14ac:dyDescent="0.45">
      <c r="A1397" s="1">
        <v>46412</v>
      </c>
    </row>
    <row r="1398" spans="1:1" x14ac:dyDescent="0.45">
      <c r="A1398" s="1">
        <v>46413</v>
      </c>
    </row>
    <row r="1399" spans="1:1" x14ac:dyDescent="0.45">
      <c r="A1399" s="1">
        <v>46414</v>
      </c>
    </row>
    <row r="1400" spans="1:1" x14ac:dyDescent="0.45">
      <c r="A1400" s="1">
        <v>46415</v>
      </c>
    </row>
    <row r="1401" spans="1:1" x14ac:dyDescent="0.45">
      <c r="A1401" s="1">
        <v>46416</v>
      </c>
    </row>
    <row r="1402" spans="1:1" x14ac:dyDescent="0.45">
      <c r="A1402" s="1">
        <v>46417</v>
      </c>
    </row>
    <row r="1403" spans="1:1" x14ac:dyDescent="0.45">
      <c r="A1403" s="1">
        <v>46418</v>
      </c>
    </row>
    <row r="1404" spans="1:1" x14ac:dyDescent="0.45">
      <c r="A1404" s="1">
        <v>46419</v>
      </c>
    </row>
    <row r="1405" spans="1:1" x14ac:dyDescent="0.45">
      <c r="A1405" s="1">
        <v>46420</v>
      </c>
    </row>
    <row r="1406" spans="1:1" x14ac:dyDescent="0.45">
      <c r="A1406" s="1">
        <v>46421</v>
      </c>
    </row>
    <row r="1407" spans="1:1" x14ac:dyDescent="0.45">
      <c r="A1407" s="1">
        <v>46422</v>
      </c>
    </row>
    <row r="1408" spans="1:1" x14ac:dyDescent="0.45">
      <c r="A1408" s="1">
        <v>46423</v>
      </c>
    </row>
    <row r="1409" spans="1:1" x14ac:dyDescent="0.45">
      <c r="A1409" s="1">
        <v>46424</v>
      </c>
    </row>
    <row r="1410" spans="1:1" x14ac:dyDescent="0.45">
      <c r="A1410" s="1">
        <v>46425</v>
      </c>
    </row>
    <row r="1411" spans="1:1" x14ac:dyDescent="0.45">
      <c r="A1411" s="1">
        <v>46426</v>
      </c>
    </row>
    <row r="1412" spans="1:1" x14ac:dyDescent="0.45">
      <c r="A1412" s="1">
        <v>46427</v>
      </c>
    </row>
    <row r="1413" spans="1:1" x14ac:dyDescent="0.45">
      <c r="A1413" s="1">
        <v>46428</v>
      </c>
    </row>
    <row r="1414" spans="1:1" x14ac:dyDescent="0.45">
      <c r="A1414" s="1">
        <v>46429</v>
      </c>
    </row>
    <row r="1415" spans="1:1" x14ac:dyDescent="0.45">
      <c r="A1415" s="1">
        <v>46430</v>
      </c>
    </row>
    <row r="1416" spans="1:1" x14ac:dyDescent="0.45">
      <c r="A1416" s="1">
        <v>46431</v>
      </c>
    </row>
    <row r="1417" spans="1:1" x14ac:dyDescent="0.45">
      <c r="A1417" s="1">
        <v>46432</v>
      </c>
    </row>
    <row r="1418" spans="1:1" x14ac:dyDescent="0.45">
      <c r="A1418" s="1">
        <v>46433</v>
      </c>
    </row>
    <row r="1419" spans="1:1" x14ac:dyDescent="0.45">
      <c r="A1419" s="1">
        <v>46434</v>
      </c>
    </row>
    <row r="1420" spans="1:1" x14ac:dyDescent="0.45">
      <c r="A1420" s="1">
        <v>46435</v>
      </c>
    </row>
    <row r="1421" spans="1:1" x14ac:dyDescent="0.45">
      <c r="A1421" s="1">
        <v>46436</v>
      </c>
    </row>
    <row r="1422" spans="1:1" x14ac:dyDescent="0.45">
      <c r="A1422" s="1">
        <v>46437</v>
      </c>
    </row>
    <row r="1423" spans="1:1" x14ac:dyDescent="0.45">
      <c r="A1423" s="1">
        <v>46438</v>
      </c>
    </row>
    <row r="1424" spans="1:1" x14ac:dyDescent="0.45">
      <c r="A1424" s="1">
        <v>46439</v>
      </c>
    </row>
    <row r="1425" spans="1:1" x14ac:dyDescent="0.45">
      <c r="A1425" s="1">
        <v>46440</v>
      </c>
    </row>
    <row r="1426" spans="1:1" x14ac:dyDescent="0.45">
      <c r="A1426" s="1">
        <v>46441</v>
      </c>
    </row>
    <row r="1427" spans="1:1" x14ac:dyDescent="0.45">
      <c r="A1427" s="1">
        <v>46442</v>
      </c>
    </row>
    <row r="1428" spans="1:1" x14ac:dyDescent="0.45">
      <c r="A1428" s="1">
        <v>46443</v>
      </c>
    </row>
    <row r="1429" spans="1:1" x14ac:dyDescent="0.45">
      <c r="A1429" s="1">
        <v>46444</v>
      </c>
    </row>
    <row r="1430" spans="1:1" x14ac:dyDescent="0.45">
      <c r="A1430" s="1">
        <v>46445</v>
      </c>
    </row>
    <row r="1431" spans="1:1" x14ac:dyDescent="0.45">
      <c r="A1431" s="1">
        <v>46446</v>
      </c>
    </row>
    <row r="1432" spans="1:1" x14ac:dyDescent="0.45">
      <c r="A1432" s="1">
        <v>46447</v>
      </c>
    </row>
    <row r="1433" spans="1:1" x14ac:dyDescent="0.45">
      <c r="A1433" s="1">
        <v>46448</v>
      </c>
    </row>
    <row r="1434" spans="1:1" x14ac:dyDescent="0.45">
      <c r="A1434" s="1">
        <v>46449</v>
      </c>
    </row>
    <row r="1435" spans="1:1" x14ac:dyDescent="0.45">
      <c r="A1435" s="1">
        <v>46450</v>
      </c>
    </row>
    <row r="1436" spans="1:1" x14ac:dyDescent="0.45">
      <c r="A1436" s="1">
        <v>46451</v>
      </c>
    </row>
    <row r="1437" spans="1:1" x14ac:dyDescent="0.45">
      <c r="A1437" s="1">
        <v>46452</v>
      </c>
    </row>
    <row r="1438" spans="1:1" x14ac:dyDescent="0.45">
      <c r="A1438" s="1">
        <v>46453</v>
      </c>
    </row>
    <row r="1439" spans="1:1" x14ac:dyDescent="0.45">
      <c r="A1439" s="1">
        <v>46454</v>
      </c>
    </row>
    <row r="1440" spans="1:1" x14ac:dyDescent="0.45">
      <c r="A1440" s="1">
        <v>46455</v>
      </c>
    </row>
    <row r="1441" spans="1:1" x14ac:dyDescent="0.45">
      <c r="A1441" s="1">
        <v>46456</v>
      </c>
    </row>
    <row r="1442" spans="1:1" x14ac:dyDescent="0.45">
      <c r="A1442" s="1">
        <v>46457</v>
      </c>
    </row>
    <row r="1443" spans="1:1" x14ac:dyDescent="0.45">
      <c r="A1443" s="1">
        <v>46458</v>
      </c>
    </row>
    <row r="1444" spans="1:1" x14ac:dyDescent="0.45">
      <c r="A1444" s="1">
        <v>46459</v>
      </c>
    </row>
    <row r="1445" spans="1:1" x14ac:dyDescent="0.45">
      <c r="A1445" s="1">
        <v>46460</v>
      </c>
    </row>
    <row r="1446" spans="1:1" x14ac:dyDescent="0.45">
      <c r="A1446" s="1">
        <v>46461</v>
      </c>
    </row>
    <row r="1447" spans="1:1" x14ac:dyDescent="0.45">
      <c r="A1447" s="1">
        <v>46462</v>
      </c>
    </row>
    <row r="1448" spans="1:1" x14ac:dyDescent="0.45">
      <c r="A1448" s="1">
        <v>46463</v>
      </c>
    </row>
    <row r="1449" spans="1:1" x14ac:dyDescent="0.45">
      <c r="A1449" s="1">
        <v>46464</v>
      </c>
    </row>
    <row r="1450" spans="1:1" x14ac:dyDescent="0.45">
      <c r="A1450" s="1">
        <v>46465</v>
      </c>
    </row>
    <row r="1451" spans="1:1" x14ac:dyDescent="0.45">
      <c r="A1451" s="1">
        <v>46466</v>
      </c>
    </row>
    <row r="1452" spans="1:1" x14ac:dyDescent="0.45">
      <c r="A1452" s="1">
        <v>46467</v>
      </c>
    </row>
    <row r="1453" spans="1:1" x14ac:dyDescent="0.45">
      <c r="A1453" s="1">
        <v>46468</v>
      </c>
    </row>
    <row r="1454" spans="1:1" x14ac:dyDescent="0.45">
      <c r="A1454" s="1">
        <v>46469</v>
      </c>
    </row>
    <row r="1455" spans="1:1" x14ac:dyDescent="0.45">
      <c r="A1455" s="1">
        <v>46470</v>
      </c>
    </row>
    <row r="1456" spans="1:1" x14ac:dyDescent="0.45">
      <c r="A1456" s="1">
        <v>46471</v>
      </c>
    </row>
    <row r="1457" spans="1:1" x14ac:dyDescent="0.45">
      <c r="A1457" s="1">
        <v>46472</v>
      </c>
    </row>
    <row r="1458" spans="1:1" x14ac:dyDescent="0.45">
      <c r="A1458" s="1">
        <v>46473</v>
      </c>
    </row>
    <row r="1459" spans="1:1" x14ac:dyDescent="0.45">
      <c r="A1459" s="1">
        <v>46474</v>
      </c>
    </row>
    <row r="1460" spans="1:1" x14ac:dyDescent="0.45">
      <c r="A1460" s="1">
        <v>46475</v>
      </c>
    </row>
    <row r="1461" spans="1:1" x14ac:dyDescent="0.45">
      <c r="A1461" s="1">
        <v>46476</v>
      </c>
    </row>
    <row r="1462" spans="1:1" x14ac:dyDescent="0.45">
      <c r="A1462" s="1">
        <v>46477</v>
      </c>
    </row>
    <row r="1463" spans="1:1" x14ac:dyDescent="0.45">
      <c r="A1463" s="1">
        <v>46478</v>
      </c>
    </row>
    <row r="1464" spans="1:1" x14ac:dyDescent="0.45">
      <c r="A1464" s="1">
        <v>46479</v>
      </c>
    </row>
    <row r="1465" spans="1:1" x14ac:dyDescent="0.45">
      <c r="A1465" s="1">
        <v>46480</v>
      </c>
    </row>
    <row r="1466" spans="1:1" x14ac:dyDescent="0.45">
      <c r="A1466" s="1">
        <v>46481</v>
      </c>
    </row>
    <row r="1467" spans="1:1" x14ac:dyDescent="0.45">
      <c r="A1467" s="1">
        <v>46482</v>
      </c>
    </row>
    <row r="1468" spans="1:1" x14ac:dyDescent="0.45">
      <c r="A1468" s="1">
        <v>46483</v>
      </c>
    </row>
    <row r="1469" spans="1:1" x14ac:dyDescent="0.45">
      <c r="A1469" s="1">
        <v>46484</v>
      </c>
    </row>
    <row r="1470" spans="1:1" x14ac:dyDescent="0.45">
      <c r="A1470" s="1">
        <v>46485</v>
      </c>
    </row>
    <row r="1471" spans="1:1" x14ac:dyDescent="0.45">
      <c r="A1471" s="1">
        <v>46486</v>
      </c>
    </row>
    <row r="1472" spans="1:1" x14ac:dyDescent="0.45">
      <c r="A1472" s="1">
        <v>46487</v>
      </c>
    </row>
    <row r="1473" spans="1:1" x14ac:dyDescent="0.45">
      <c r="A1473" s="1">
        <v>46488</v>
      </c>
    </row>
    <row r="1474" spans="1:1" x14ac:dyDescent="0.45">
      <c r="A1474" s="1">
        <v>46489</v>
      </c>
    </row>
    <row r="1475" spans="1:1" x14ac:dyDescent="0.45">
      <c r="A1475" s="1">
        <v>46490</v>
      </c>
    </row>
    <row r="1476" spans="1:1" x14ac:dyDescent="0.45">
      <c r="A1476" s="1">
        <v>46491</v>
      </c>
    </row>
    <row r="1477" spans="1:1" x14ac:dyDescent="0.45">
      <c r="A1477" s="1">
        <v>46492</v>
      </c>
    </row>
    <row r="1478" spans="1:1" x14ac:dyDescent="0.45">
      <c r="A1478" s="1">
        <v>46493</v>
      </c>
    </row>
    <row r="1479" spans="1:1" x14ac:dyDescent="0.45">
      <c r="A1479" s="1">
        <v>46494</v>
      </c>
    </row>
    <row r="1480" spans="1:1" x14ac:dyDescent="0.45">
      <c r="A1480" s="1">
        <v>46495</v>
      </c>
    </row>
    <row r="1481" spans="1:1" x14ac:dyDescent="0.45">
      <c r="A1481" s="1">
        <v>46496</v>
      </c>
    </row>
    <row r="1482" spans="1:1" x14ac:dyDescent="0.45">
      <c r="A1482" s="1">
        <v>46497</v>
      </c>
    </row>
    <row r="1483" spans="1:1" x14ac:dyDescent="0.45">
      <c r="A1483" s="1">
        <v>46498</v>
      </c>
    </row>
    <row r="1484" spans="1:1" x14ac:dyDescent="0.45">
      <c r="A1484" s="1">
        <v>46499</v>
      </c>
    </row>
    <row r="1485" spans="1:1" x14ac:dyDescent="0.45">
      <c r="A1485" s="1">
        <v>46500</v>
      </c>
    </row>
    <row r="1486" spans="1:1" x14ac:dyDescent="0.45">
      <c r="A1486" s="1">
        <v>46501</v>
      </c>
    </row>
    <row r="1487" spans="1:1" x14ac:dyDescent="0.45">
      <c r="A1487" s="1">
        <v>46502</v>
      </c>
    </row>
    <row r="1488" spans="1:1" x14ac:dyDescent="0.45">
      <c r="A1488" s="1">
        <v>46503</v>
      </c>
    </row>
    <row r="1489" spans="1:1" x14ac:dyDescent="0.45">
      <c r="A1489" s="1">
        <v>46504</v>
      </c>
    </row>
    <row r="1490" spans="1:1" x14ac:dyDescent="0.45">
      <c r="A1490" s="1">
        <v>46505</v>
      </c>
    </row>
    <row r="1491" spans="1:1" x14ac:dyDescent="0.45">
      <c r="A1491" s="1">
        <v>46506</v>
      </c>
    </row>
    <row r="1492" spans="1:1" x14ac:dyDescent="0.45">
      <c r="A1492" s="1">
        <v>46507</v>
      </c>
    </row>
    <row r="1493" spans="1:1" x14ac:dyDescent="0.45">
      <c r="A1493" s="1">
        <v>46508</v>
      </c>
    </row>
    <row r="1494" spans="1:1" x14ac:dyDescent="0.45">
      <c r="A1494" s="1">
        <v>46509</v>
      </c>
    </row>
    <row r="1495" spans="1:1" x14ac:dyDescent="0.45">
      <c r="A1495" s="1">
        <v>46510</v>
      </c>
    </row>
    <row r="1496" spans="1:1" x14ac:dyDescent="0.45">
      <c r="A1496" s="1">
        <v>46511</v>
      </c>
    </row>
    <row r="1497" spans="1:1" x14ac:dyDescent="0.45">
      <c r="A1497" s="1">
        <v>46512</v>
      </c>
    </row>
    <row r="1498" spans="1:1" x14ac:dyDescent="0.45">
      <c r="A1498" s="1">
        <v>46513</v>
      </c>
    </row>
    <row r="1499" spans="1:1" x14ac:dyDescent="0.45">
      <c r="A1499" s="1">
        <v>46514</v>
      </c>
    </row>
    <row r="1500" spans="1:1" x14ac:dyDescent="0.45">
      <c r="A1500" s="1">
        <v>46515</v>
      </c>
    </row>
    <row r="1501" spans="1:1" x14ac:dyDescent="0.45">
      <c r="A1501" s="1">
        <v>46516</v>
      </c>
    </row>
    <row r="1502" spans="1:1" x14ac:dyDescent="0.45">
      <c r="A1502" s="1">
        <v>46517</v>
      </c>
    </row>
    <row r="1503" spans="1:1" x14ac:dyDescent="0.45">
      <c r="A1503" s="1">
        <v>46518</v>
      </c>
    </row>
    <row r="1504" spans="1:1" x14ac:dyDescent="0.45">
      <c r="A1504" s="1">
        <v>46519</v>
      </c>
    </row>
    <row r="1505" spans="1:1" x14ac:dyDescent="0.45">
      <c r="A1505" s="1">
        <v>46520</v>
      </c>
    </row>
    <row r="1506" spans="1:1" x14ac:dyDescent="0.45">
      <c r="A1506" s="1">
        <v>46521</v>
      </c>
    </row>
    <row r="1507" spans="1:1" x14ac:dyDescent="0.45">
      <c r="A1507" s="1">
        <v>46522</v>
      </c>
    </row>
    <row r="1508" spans="1:1" x14ac:dyDescent="0.45">
      <c r="A1508" s="1">
        <v>46523</v>
      </c>
    </row>
    <row r="1509" spans="1:1" x14ac:dyDescent="0.45">
      <c r="A1509" s="1">
        <v>46524</v>
      </c>
    </row>
    <row r="1510" spans="1:1" x14ac:dyDescent="0.45">
      <c r="A1510" s="1">
        <v>46525</v>
      </c>
    </row>
    <row r="1511" spans="1:1" x14ac:dyDescent="0.45">
      <c r="A1511" s="1">
        <v>46526</v>
      </c>
    </row>
    <row r="1512" spans="1:1" x14ac:dyDescent="0.45">
      <c r="A1512" s="1">
        <v>46527</v>
      </c>
    </row>
    <row r="1513" spans="1:1" x14ac:dyDescent="0.45">
      <c r="A1513" s="1">
        <v>46528</v>
      </c>
    </row>
    <row r="1514" spans="1:1" x14ac:dyDescent="0.45">
      <c r="A1514" s="1">
        <v>46529</v>
      </c>
    </row>
    <row r="1515" spans="1:1" x14ac:dyDescent="0.45">
      <c r="A1515" s="1">
        <v>46530</v>
      </c>
    </row>
    <row r="1516" spans="1:1" x14ac:dyDescent="0.45">
      <c r="A1516" s="1">
        <v>46531</v>
      </c>
    </row>
    <row r="1517" spans="1:1" x14ac:dyDescent="0.45">
      <c r="A1517" s="1">
        <v>46532</v>
      </c>
    </row>
    <row r="1518" spans="1:1" x14ac:dyDescent="0.45">
      <c r="A1518" s="1">
        <v>46533</v>
      </c>
    </row>
    <row r="1519" spans="1:1" x14ac:dyDescent="0.45">
      <c r="A1519" s="1">
        <v>46534</v>
      </c>
    </row>
    <row r="1520" spans="1:1" x14ac:dyDescent="0.45">
      <c r="A1520" s="1">
        <v>46535</v>
      </c>
    </row>
    <row r="1521" spans="1:1" x14ac:dyDescent="0.45">
      <c r="A1521" s="1">
        <v>46536</v>
      </c>
    </row>
    <row r="1522" spans="1:1" x14ac:dyDescent="0.45">
      <c r="A1522" s="1">
        <v>46537</v>
      </c>
    </row>
    <row r="1523" spans="1:1" x14ac:dyDescent="0.45">
      <c r="A1523" s="1">
        <v>46538</v>
      </c>
    </row>
    <row r="1524" spans="1:1" x14ac:dyDescent="0.45">
      <c r="A1524" s="1">
        <v>46539</v>
      </c>
    </row>
    <row r="1525" spans="1:1" x14ac:dyDescent="0.45">
      <c r="A1525" s="1">
        <v>46540</v>
      </c>
    </row>
    <row r="1526" spans="1:1" x14ac:dyDescent="0.45">
      <c r="A1526" s="1">
        <v>46541</v>
      </c>
    </row>
    <row r="1527" spans="1:1" x14ac:dyDescent="0.45">
      <c r="A1527" s="1">
        <v>46542</v>
      </c>
    </row>
    <row r="1528" spans="1:1" x14ac:dyDescent="0.45">
      <c r="A1528" s="1">
        <v>46543</v>
      </c>
    </row>
    <row r="1529" spans="1:1" x14ac:dyDescent="0.45">
      <c r="A1529" s="1">
        <v>46544</v>
      </c>
    </row>
    <row r="1530" spans="1:1" x14ac:dyDescent="0.45">
      <c r="A1530" s="1">
        <v>46545</v>
      </c>
    </row>
    <row r="1531" spans="1:1" x14ac:dyDescent="0.45">
      <c r="A1531" s="1">
        <v>46546</v>
      </c>
    </row>
    <row r="1532" spans="1:1" x14ac:dyDescent="0.45">
      <c r="A1532" s="1">
        <v>46547</v>
      </c>
    </row>
    <row r="1533" spans="1:1" x14ac:dyDescent="0.45">
      <c r="A1533" s="1">
        <v>46548</v>
      </c>
    </row>
    <row r="1534" spans="1:1" x14ac:dyDescent="0.45">
      <c r="A1534" s="1">
        <v>46549</v>
      </c>
    </row>
    <row r="1535" spans="1:1" x14ac:dyDescent="0.45">
      <c r="A1535" s="1">
        <v>46550</v>
      </c>
    </row>
    <row r="1536" spans="1:1" x14ac:dyDescent="0.45">
      <c r="A1536" s="1">
        <v>46551</v>
      </c>
    </row>
    <row r="1537" spans="1:1" x14ac:dyDescent="0.45">
      <c r="A1537" s="1">
        <v>46552</v>
      </c>
    </row>
    <row r="1538" spans="1:1" x14ac:dyDescent="0.45">
      <c r="A1538" s="1">
        <v>46553</v>
      </c>
    </row>
    <row r="1539" spans="1:1" x14ac:dyDescent="0.45">
      <c r="A1539" s="1">
        <v>46554</v>
      </c>
    </row>
    <row r="1540" spans="1:1" x14ac:dyDescent="0.45">
      <c r="A1540" s="1">
        <v>46555</v>
      </c>
    </row>
    <row r="1541" spans="1:1" x14ac:dyDescent="0.45">
      <c r="A1541" s="1">
        <v>46556</v>
      </c>
    </row>
    <row r="1542" spans="1:1" x14ac:dyDescent="0.45">
      <c r="A1542" s="1">
        <v>46557</v>
      </c>
    </row>
    <row r="1543" spans="1:1" x14ac:dyDescent="0.45">
      <c r="A1543" s="1">
        <v>46558</v>
      </c>
    </row>
    <row r="1544" spans="1:1" x14ac:dyDescent="0.45">
      <c r="A1544" s="1">
        <v>46559</v>
      </c>
    </row>
    <row r="1545" spans="1:1" x14ac:dyDescent="0.45">
      <c r="A1545" s="1">
        <v>46560</v>
      </c>
    </row>
    <row r="1546" spans="1:1" x14ac:dyDescent="0.45">
      <c r="A1546" s="1">
        <v>46561</v>
      </c>
    </row>
    <row r="1547" spans="1:1" x14ac:dyDescent="0.45">
      <c r="A1547" s="1">
        <v>46562</v>
      </c>
    </row>
    <row r="1548" spans="1:1" x14ac:dyDescent="0.45">
      <c r="A1548" s="1">
        <v>46563</v>
      </c>
    </row>
    <row r="1549" spans="1:1" x14ac:dyDescent="0.45">
      <c r="A1549" s="1">
        <v>46564</v>
      </c>
    </row>
    <row r="1550" spans="1:1" x14ac:dyDescent="0.45">
      <c r="A1550" s="1">
        <v>46565</v>
      </c>
    </row>
    <row r="1551" spans="1:1" x14ac:dyDescent="0.45">
      <c r="A1551" s="1">
        <v>46566</v>
      </c>
    </row>
    <row r="1552" spans="1:1" x14ac:dyDescent="0.45">
      <c r="A1552" s="1">
        <v>46567</v>
      </c>
    </row>
    <row r="1553" spans="1:1" x14ac:dyDescent="0.45">
      <c r="A1553" s="1">
        <v>46568</v>
      </c>
    </row>
    <row r="1554" spans="1:1" x14ac:dyDescent="0.45">
      <c r="A1554" s="1">
        <v>46569</v>
      </c>
    </row>
    <row r="1555" spans="1:1" x14ac:dyDescent="0.45">
      <c r="A1555" s="1">
        <v>46570</v>
      </c>
    </row>
    <row r="1556" spans="1:1" x14ac:dyDescent="0.45">
      <c r="A1556" s="1">
        <v>46571</v>
      </c>
    </row>
    <row r="1557" spans="1:1" x14ac:dyDescent="0.45">
      <c r="A1557" s="1">
        <v>46572</v>
      </c>
    </row>
    <row r="1558" spans="1:1" x14ac:dyDescent="0.45">
      <c r="A1558" s="1">
        <v>46573</v>
      </c>
    </row>
    <row r="1559" spans="1:1" x14ac:dyDescent="0.45">
      <c r="A1559" s="1">
        <v>46574</v>
      </c>
    </row>
    <row r="1560" spans="1:1" x14ac:dyDescent="0.45">
      <c r="A1560" s="1">
        <v>46575</v>
      </c>
    </row>
    <row r="1561" spans="1:1" x14ac:dyDescent="0.45">
      <c r="A1561" s="1">
        <v>46576</v>
      </c>
    </row>
    <row r="1562" spans="1:1" x14ac:dyDescent="0.45">
      <c r="A1562" s="1">
        <v>46577</v>
      </c>
    </row>
    <row r="1563" spans="1:1" x14ac:dyDescent="0.45">
      <c r="A1563" s="1">
        <v>46578</v>
      </c>
    </row>
    <row r="1564" spans="1:1" x14ac:dyDescent="0.45">
      <c r="A1564" s="1">
        <v>46579</v>
      </c>
    </row>
    <row r="1565" spans="1:1" x14ac:dyDescent="0.45">
      <c r="A1565" s="1">
        <v>46580</v>
      </c>
    </row>
    <row r="1566" spans="1:1" x14ac:dyDescent="0.45">
      <c r="A1566" s="1">
        <v>46581</v>
      </c>
    </row>
    <row r="1567" spans="1:1" x14ac:dyDescent="0.45">
      <c r="A1567" s="1">
        <v>46582</v>
      </c>
    </row>
    <row r="1568" spans="1:1" x14ac:dyDescent="0.45">
      <c r="A1568" s="1">
        <v>46583</v>
      </c>
    </row>
    <row r="1569" spans="1:1" x14ac:dyDescent="0.45">
      <c r="A1569" s="1">
        <v>46584</v>
      </c>
    </row>
    <row r="1570" spans="1:1" x14ac:dyDescent="0.45">
      <c r="A1570" s="1">
        <v>46585</v>
      </c>
    </row>
    <row r="1571" spans="1:1" x14ac:dyDescent="0.45">
      <c r="A1571" s="1">
        <v>46586</v>
      </c>
    </row>
    <row r="1572" spans="1:1" x14ac:dyDescent="0.45">
      <c r="A1572" s="1">
        <v>46587</v>
      </c>
    </row>
    <row r="1573" spans="1:1" x14ac:dyDescent="0.45">
      <c r="A1573" s="1">
        <v>46588</v>
      </c>
    </row>
    <row r="1574" spans="1:1" x14ac:dyDescent="0.45">
      <c r="A1574" s="1">
        <v>46589</v>
      </c>
    </row>
    <row r="1575" spans="1:1" x14ac:dyDescent="0.45">
      <c r="A1575" s="1">
        <v>46590</v>
      </c>
    </row>
    <row r="1576" spans="1:1" x14ac:dyDescent="0.45">
      <c r="A1576" s="1">
        <v>46591</v>
      </c>
    </row>
    <row r="1577" spans="1:1" x14ac:dyDescent="0.45">
      <c r="A1577" s="1">
        <v>46592</v>
      </c>
    </row>
    <row r="1578" spans="1:1" x14ac:dyDescent="0.45">
      <c r="A1578" s="1">
        <v>46593</v>
      </c>
    </row>
    <row r="1579" spans="1:1" x14ac:dyDescent="0.45">
      <c r="A1579" s="1">
        <v>46594</v>
      </c>
    </row>
    <row r="1580" spans="1:1" x14ac:dyDescent="0.45">
      <c r="A1580" s="1">
        <v>46595</v>
      </c>
    </row>
    <row r="1581" spans="1:1" x14ac:dyDescent="0.45">
      <c r="A1581" s="1">
        <v>46596</v>
      </c>
    </row>
    <row r="1582" spans="1:1" x14ac:dyDescent="0.45">
      <c r="A1582" s="1">
        <v>46597</v>
      </c>
    </row>
    <row r="1583" spans="1:1" x14ac:dyDescent="0.45">
      <c r="A1583" s="1">
        <v>46598</v>
      </c>
    </row>
    <row r="1584" spans="1:1" x14ac:dyDescent="0.45">
      <c r="A1584" s="1">
        <v>46599</v>
      </c>
    </row>
    <row r="1585" spans="1:1" x14ac:dyDescent="0.45">
      <c r="A1585" s="1">
        <v>46600</v>
      </c>
    </row>
    <row r="1586" spans="1:1" x14ac:dyDescent="0.45">
      <c r="A1586" s="1">
        <v>46601</v>
      </c>
    </row>
    <row r="1587" spans="1:1" x14ac:dyDescent="0.45">
      <c r="A1587" s="1">
        <v>46602</v>
      </c>
    </row>
    <row r="1588" spans="1:1" x14ac:dyDescent="0.45">
      <c r="A1588" s="1">
        <v>46603</v>
      </c>
    </row>
    <row r="1589" spans="1:1" x14ac:dyDescent="0.45">
      <c r="A1589" s="1">
        <v>46604</v>
      </c>
    </row>
    <row r="1590" spans="1:1" x14ac:dyDescent="0.45">
      <c r="A1590" s="1">
        <v>46605</v>
      </c>
    </row>
    <row r="1591" spans="1:1" x14ac:dyDescent="0.45">
      <c r="A1591" s="1">
        <v>46606</v>
      </c>
    </row>
    <row r="1592" spans="1:1" x14ac:dyDescent="0.45">
      <c r="A1592" s="1">
        <v>46607</v>
      </c>
    </row>
    <row r="1593" spans="1:1" x14ac:dyDescent="0.45">
      <c r="A1593" s="1">
        <v>46608</v>
      </c>
    </row>
    <row r="1594" spans="1:1" x14ac:dyDescent="0.45">
      <c r="A1594" s="1">
        <v>46609</v>
      </c>
    </row>
    <row r="1595" spans="1:1" x14ac:dyDescent="0.45">
      <c r="A1595" s="1">
        <v>46610</v>
      </c>
    </row>
    <row r="1596" spans="1:1" x14ac:dyDescent="0.45">
      <c r="A1596" s="1">
        <v>46611</v>
      </c>
    </row>
    <row r="1597" spans="1:1" x14ac:dyDescent="0.45">
      <c r="A1597" s="1">
        <v>46612</v>
      </c>
    </row>
    <row r="1598" spans="1:1" x14ac:dyDescent="0.45">
      <c r="A1598" s="1">
        <v>46613</v>
      </c>
    </row>
    <row r="1599" spans="1:1" x14ac:dyDescent="0.45">
      <c r="A1599" s="1">
        <v>46614</v>
      </c>
    </row>
    <row r="1600" spans="1:1" x14ac:dyDescent="0.45">
      <c r="A1600" s="1">
        <v>46615</v>
      </c>
    </row>
    <row r="1601" spans="1:1" x14ac:dyDescent="0.45">
      <c r="A1601" s="1">
        <v>46616</v>
      </c>
    </row>
    <row r="1602" spans="1:1" x14ac:dyDescent="0.45">
      <c r="A1602" s="1">
        <v>46617</v>
      </c>
    </row>
    <row r="1603" spans="1:1" x14ac:dyDescent="0.45">
      <c r="A1603" s="1">
        <v>46618</v>
      </c>
    </row>
    <row r="1604" spans="1:1" x14ac:dyDescent="0.45">
      <c r="A1604" s="1">
        <v>46619</v>
      </c>
    </row>
    <row r="1605" spans="1:1" x14ac:dyDescent="0.45">
      <c r="A1605" s="1">
        <v>46620</v>
      </c>
    </row>
    <row r="1606" spans="1:1" x14ac:dyDescent="0.45">
      <c r="A1606" s="1">
        <v>46621</v>
      </c>
    </row>
    <row r="1607" spans="1:1" x14ac:dyDescent="0.45">
      <c r="A1607" s="1">
        <v>46622</v>
      </c>
    </row>
    <row r="1608" spans="1:1" x14ac:dyDescent="0.45">
      <c r="A1608" s="1">
        <v>46623</v>
      </c>
    </row>
    <row r="1609" spans="1:1" x14ac:dyDescent="0.45">
      <c r="A1609" s="1">
        <v>46624</v>
      </c>
    </row>
    <row r="1610" spans="1:1" x14ac:dyDescent="0.45">
      <c r="A1610" s="1">
        <v>46625</v>
      </c>
    </row>
    <row r="1611" spans="1:1" x14ac:dyDescent="0.45">
      <c r="A1611" s="1">
        <v>46626</v>
      </c>
    </row>
    <row r="1612" spans="1:1" x14ac:dyDescent="0.45">
      <c r="A1612" s="1">
        <v>46627</v>
      </c>
    </row>
    <row r="1613" spans="1:1" x14ac:dyDescent="0.45">
      <c r="A1613" s="1">
        <v>46628</v>
      </c>
    </row>
    <row r="1614" spans="1:1" x14ac:dyDescent="0.45">
      <c r="A1614" s="1">
        <v>46629</v>
      </c>
    </row>
    <row r="1615" spans="1:1" x14ac:dyDescent="0.45">
      <c r="A1615" s="1">
        <v>46630</v>
      </c>
    </row>
    <row r="1616" spans="1:1" x14ac:dyDescent="0.45">
      <c r="A1616" s="1">
        <v>46631</v>
      </c>
    </row>
    <row r="1617" spans="1:1" x14ac:dyDescent="0.45">
      <c r="A1617" s="1">
        <v>46632</v>
      </c>
    </row>
    <row r="1618" spans="1:1" x14ac:dyDescent="0.45">
      <c r="A1618" s="1">
        <v>46633</v>
      </c>
    </row>
    <row r="1619" spans="1:1" x14ac:dyDescent="0.45">
      <c r="A1619" s="1">
        <v>46634</v>
      </c>
    </row>
    <row r="1620" spans="1:1" x14ac:dyDescent="0.45">
      <c r="A1620" s="1">
        <v>46635</v>
      </c>
    </row>
    <row r="1621" spans="1:1" x14ac:dyDescent="0.45">
      <c r="A1621" s="1">
        <v>46636</v>
      </c>
    </row>
    <row r="1622" spans="1:1" x14ac:dyDescent="0.45">
      <c r="A1622" s="1">
        <v>46637</v>
      </c>
    </row>
    <row r="1623" spans="1:1" x14ac:dyDescent="0.45">
      <c r="A1623" s="1">
        <v>46638</v>
      </c>
    </row>
    <row r="1624" spans="1:1" x14ac:dyDescent="0.45">
      <c r="A1624" s="1">
        <v>46639</v>
      </c>
    </row>
    <row r="1625" spans="1:1" x14ac:dyDescent="0.45">
      <c r="A1625" s="1">
        <v>46640</v>
      </c>
    </row>
    <row r="1626" spans="1:1" x14ac:dyDescent="0.45">
      <c r="A1626" s="1">
        <v>46641</v>
      </c>
    </row>
    <row r="1627" spans="1:1" x14ac:dyDescent="0.45">
      <c r="A1627" s="1">
        <v>46642</v>
      </c>
    </row>
    <row r="1628" spans="1:1" x14ac:dyDescent="0.45">
      <c r="A1628" s="1">
        <v>46643</v>
      </c>
    </row>
    <row r="1629" spans="1:1" x14ac:dyDescent="0.45">
      <c r="A1629" s="1">
        <v>46644</v>
      </c>
    </row>
    <row r="1630" spans="1:1" x14ac:dyDescent="0.45">
      <c r="A1630" s="1">
        <v>46645</v>
      </c>
    </row>
    <row r="1631" spans="1:1" x14ac:dyDescent="0.45">
      <c r="A1631" s="1">
        <v>46646</v>
      </c>
    </row>
    <row r="1632" spans="1:1" x14ac:dyDescent="0.45">
      <c r="A1632" s="1">
        <v>46647</v>
      </c>
    </row>
    <row r="1633" spans="1:1" x14ac:dyDescent="0.45">
      <c r="A1633" s="1">
        <v>46648</v>
      </c>
    </row>
    <row r="1634" spans="1:1" x14ac:dyDescent="0.45">
      <c r="A1634" s="1">
        <v>46649</v>
      </c>
    </row>
    <row r="1635" spans="1:1" x14ac:dyDescent="0.45">
      <c r="A1635" s="1">
        <v>46650</v>
      </c>
    </row>
    <row r="1636" spans="1:1" x14ac:dyDescent="0.45">
      <c r="A1636" s="1">
        <v>46651</v>
      </c>
    </row>
    <row r="1637" spans="1:1" x14ac:dyDescent="0.45">
      <c r="A1637" s="1">
        <v>46652</v>
      </c>
    </row>
    <row r="1638" spans="1:1" x14ac:dyDescent="0.45">
      <c r="A1638" s="1">
        <v>46653</v>
      </c>
    </row>
    <row r="1639" spans="1:1" x14ac:dyDescent="0.45">
      <c r="A1639" s="1">
        <v>46654</v>
      </c>
    </row>
    <row r="1640" spans="1:1" x14ac:dyDescent="0.45">
      <c r="A1640" s="1">
        <v>46655</v>
      </c>
    </row>
    <row r="1641" spans="1:1" x14ac:dyDescent="0.45">
      <c r="A1641" s="1">
        <v>46656</v>
      </c>
    </row>
    <row r="1642" spans="1:1" x14ac:dyDescent="0.45">
      <c r="A1642" s="1">
        <v>46657</v>
      </c>
    </row>
    <row r="1643" spans="1:1" x14ac:dyDescent="0.45">
      <c r="A1643" s="1">
        <v>46658</v>
      </c>
    </row>
    <row r="1644" spans="1:1" x14ac:dyDescent="0.45">
      <c r="A1644" s="1">
        <v>46659</v>
      </c>
    </row>
    <row r="1645" spans="1:1" x14ac:dyDescent="0.45">
      <c r="A1645" s="1">
        <v>46660</v>
      </c>
    </row>
    <row r="1646" spans="1:1" x14ac:dyDescent="0.45">
      <c r="A1646" s="1">
        <v>46661</v>
      </c>
    </row>
    <row r="1647" spans="1:1" x14ac:dyDescent="0.45">
      <c r="A1647" s="1">
        <v>46662</v>
      </c>
    </row>
    <row r="1648" spans="1:1" x14ac:dyDescent="0.45">
      <c r="A1648" s="1">
        <v>46663</v>
      </c>
    </row>
    <row r="1649" spans="1:1" x14ac:dyDescent="0.45">
      <c r="A1649" s="1">
        <v>46664</v>
      </c>
    </row>
    <row r="1650" spans="1:1" x14ac:dyDescent="0.45">
      <c r="A1650" s="1">
        <v>46665</v>
      </c>
    </row>
    <row r="1651" spans="1:1" x14ac:dyDescent="0.45">
      <c r="A1651" s="1">
        <v>46666</v>
      </c>
    </row>
    <row r="1652" spans="1:1" x14ac:dyDescent="0.45">
      <c r="A1652" s="1">
        <v>46667</v>
      </c>
    </row>
    <row r="1653" spans="1:1" x14ac:dyDescent="0.45">
      <c r="A1653" s="1">
        <v>46668</v>
      </c>
    </row>
    <row r="1654" spans="1:1" x14ac:dyDescent="0.45">
      <c r="A1654" s="1">
        <v>46669</v>
      </c>
    </row>
    <row r="1655" spans="1:1" x14ac:dyDescent="0.45">
      <c r="A1655" s="1">
        <v>46670</v>
      </c>
    </row>
    <row r="1656" spans="1:1" x14ac:dyDescent="0.45">
      <c r="A1656" s="1">
        <v>46671</v>
      </c>
    </row>
    <row r="1657" spans="1:1" x14ac:dyDescent="0.45">
      <c r="A1657" s="1">
        <v>46672</v>
      </c>
    </row>
    <row r="1658" spans="1:1" x14ac:dyDescent="0.45">
      <c r="A1658" s="1">
        <v>46673</v>
      </c>
    </row>
    <row r="1659" spans="1:1" x14ac:dyDescent="0.45">
      <c r="A1659" s="1">
        <v>46674</v>
      </c>
    </row>
    <row r="1660" spans="1:1" x14ac:dyDescent="0.45">
      <c r="A1660" s="1">
        <v>46675</v>
      </c>
    </row>
    <row r="1661" spans="1:1" x14ac:dyDescent="0.45">
      <c r="A1661" s="1">
        <v>46676</v>
      </c>
    </row>
    <row r="1662" spans="1:1" x14ac:dyDescent="0.45">
      <c r="A1662" s="1">
        <v>46677</v>
      </c>
    </row>
    <row r="1663" spans="1:1" x14ac:dyDescent="0.45">
      <c r="A1663" s="1">
        <v>46678</v>
      </c>
    </row>
    <row r="1664" spans="1:1" x14ac:dyDescent="0.45">
      <c r="A1664" s="1">
        <v>46679</v>
      </c>
    </row>
    <row r="1665" spans="1:1" x14ac:dyDescent="0.45">
      <c r="A1665" s="1">
        <v>46680</v>
      </c>
    </row>
    <row r="1666" spans="1:1" x14ac:dyDescent="0.45">
      <c r="A1666" s="1">
        <v>46681</v>
      </c>
    </row>
    <row r="1667" spans="1:1" x14ac:dyDescent="0.45">
      <c r="A1667" s="1">
        <v>46682</v>
      </c>
    </row>
    <row r="1668" spans="1:1" x14ac:dyDescent="0.45">
      <c r="A1668" s="1">
        <v>46683</v>
      </c>
    </row>
    <row r="1669" spans="1:1" x14ac:dyDescent="0.45">
      <c r="A1669" s="1">
        <v>46684</v>
      </c>
    </row>
    <row r="1670" spans="1:1" x14ac:dyDescent="0.45">
      <c r="A1670" s="1">
        <v>46685</v>
      </c>
    </row>
    <row r="1671" spans="1:1" x14ac:dyDescent="0.45">
      <c r="A1671" s="1">
        <v>46686</v>
      </c>
    </row>
    <row r="1672" spans="1:1" x14ac:dyDescent="0.45">
      <c r="A1672" s="1">
        <v>46687</v>
      </c>
    </row>
    <row r="1673" spans="1:1" x14ac:dyDescent="0.45">
      <c r="A1673" s="1">
        <v>46688</v>
      </c>
    </row>
    <row r="1674" spans="1:1" x14ac:dyDescent="0.45">
      <c r="A1674" s="1">
        <v>46689</v>
      </c>
    </row>
    <row r="1675" spans="1:1" x14ac:dyDescent="0.45">
      <c r="A1675" s="1">
        <v>46690</v>
      </c>
    </row>
    <row r="1676" spans="1:1" x14ac:dyDescent="0.45">
      <c r="A1676" s="1">
        <v>46691</v>
      </c>
    </row>
    <row r="1677" spans="1:1" x14ac:dyDescent="0.45">
      <c r="A1677" s="1">
        <v>46692</v>
      </c>
    </row>
    <row r="1678" spans="1:1" x14ac:dyDescent="0.45">
      <c r="A1678" s="1">
        <v>46693</v>
      </c>
    </row>
    <row r="1679" spans="1:1" x14ac:dyDescent="0.45">
      <c r="A1679" s="1">
        <v>46694</v>
      </c>
    </row>
    <row r="1680" spans="1:1" x14ac:dyDescent="0.45">
      <c r="A1680" s="1">
        <v>46695</v>
      </c>
    </row>
    <row r="1681" spans="1:1" x14ac:dyDescent="0.45">
      <c r="A1681" s="1">
        <v>46696</v>
      </c>
    </row>
    <row r="1682" spans="1:1" x14ac:dyDescent="0.45">
      <c r="A1682" s="1">
        <v>46697</v>
      </c>
    </row>
    <row r="1683" spans="1:1" x14ac:dyDescent="0.45">
      <c r="A1683" s="1">
        <v>46698</v>
      </c>
    </row>
    <row r="1684" spans="1:1" x14ac:dyDescent="0.45">
      <c r="A1684" s="1">
        <v>46699</v>
      </c>
    </row>
    <row r="1685" spans="1:1" x14ac:dyDescent="0.45">
      <c r="A1685" s="1">
        <v>46700</v>
      </c>
    </row>
    <row r="1686" spans="1:1" x14ac:dyDescent="0.45">
      <c r="A1686" s="1">
        <v>46701</v>
      </c>
    </row>
    <row r="1687" spans="1:1" x14ac:dyDescent="0.45">
      <c r="A1687" s="1">
        <v>46702</v>
      </c>
    </row>
    <row r="1688" spans="1:1" x14ac:dyDescent="0.45">
      <c r="A1688" s="1">
        <v>46703</v>
      </c>
    </row>
    <row r="1689" spans="1:1" x14ac:dyDescent="0.45">
      <c r="A1689" s="1">
        <v>46704</v>
      </c>
    </row>
    <row r="1690" spans="1:1" x14ac:dyDescent="0.45">
      <c r="A1690" s="1">
        <v>46705</v>
      </c>
    </row>
    <row r="1691" spans="1:1" x14ac:dyDescent="0.45">
      <c r="A1691" s="1">
        <v>46706</v>
      </c>
    </row>
    <row r="1692" spans="1:1" x14ac:dyDescent="0.45">
      <c r="A1692" s="1">
        <v>46707</v>
      </c>
    </row>
    <row r="1693" spans="1:1" x14ac:dyDescent="0.45">
      <c r="A1693" s="1">
        <v>46708</v>
      </c>
    </row>
    <row r="1694" spans="1:1" x14ac:dyDescent="0.45">
      <c r="A1694" s="1">
        <v>46709</v>
      </c>
    </row>
    <row r="1695" spans="1:1" x14ac:dyDescent="0.45">
      <c r="A1695" s="1">
        <v>46710</v>
      </c>
    </row>
    <row r="1696" spans="1:1" x14ac:dyDescent="0.45">
      <c r="A1696" s="1">
        <v>46711</v>
      </c>
    </row>
    <row r="1697" spans="1:1" x14ac:dyDescent="0.45">
      <c r="A1697" s="1">
        <v>46712</v>
      </c>
    </row>
    <row r="1698" spans="1:1" x14ac:dyDescent="0.45">
      <c r="A1698" s="1">
        <v>46713</v>
      </c>
    </row>
    <row r="1699" spans="1:1" x14ac:dyDescent="0.45">
      <c r="A1699" s="1">
        <v>46714</v>
      </c>
    </row>
    <row r="1700" spans="1:1" x14ac:dyDescent="0.45">
      <c r="A1700" s="1">
        <v>46715</v>
      </c>
    </row>
    <row r="1701" spans="1:1" x14ac:dyDescent="0.45">
      <c r="A1701" s="1">
        <v>46716</v>
      </c>
    </row>
    <row r="1702" spans="1:1" x14ac:dyDescent="0.45">
      <c r="A1702" s="1">
        <v>46717</v>
      </c>
    </row>
    <row r="1703" spans="1:1" x14ac:dyDescent="0.45">
      <c r="A1703" s="1">
        <v>46718</v>
      </c>
    </row>
    <row r="1704" spans="1:1" x14ac:dyDescent="0.45">
      <c r="A1704" s="1">
        <v>46719</v>
      </c>
    </row>
    <row r="1705" spans="1:1" x14ac:dyDescent="0.45">
      <c r="A1705" s="1">
        <v>46720</v>
      </c>
    </row>
    <row r="1706" spans="1:1" x14ac:dyDescent="0.45">
      <c r="A1706" s="1">
        <v>46721</v>
      </c>
    </row>
    <row r="1707" spans="1:1" x14ac:dyDescent="0.45">
      <c r="A1707" s="1">
        <v>46722</v>
      </c>
    </row>
    <row r="1708" spans="1:1" x14ac:dyDescent="0.45">
      <c r="A1708" s="1">
        <v>46723</v>
      </c>
    </row>
    <row r="1709" spans="1:1" x14ac:dyDescent="0.45">
      <c r="A1709" s="1">
        <v>46724</v>
      </c>
    </row>
    <row r="1710" spans="1:1" x14ac:dyDescent="0.45">
      <c r="A1710" s="1">
        <v>46725</v>
      </c>
    </row>
    <row r="1711" spans="1:1" x14ac:dyDescent="0.45">
      <c r="A1711" s="1">
        <v>46726</v>
      </c>
    </row>
    <row r="1712" spans="1:1" x14ac:dyDescent="0.45">
      <c r="A1712" s="1">
        <v>46727</v>
      </c>
    </row>
    <row r="1713" spans="1:1" x14ac:dyDescent="0.45">
      <c r="A1713" s="1">
        <v>46728</v>
      </c>
    </row>
    <row r="1714" spans="1:1" x14ac:dyDescent="0.45">
      <c r="A1714" s="1">
        <v>46729</v>
      </c>
    </row>
    <row r="1715" spans="1:1" x14ac:dyDescent="0.45">
      <c r="A1715" s="1">
        <v>46730</v>
      </c>
    </row>
    <row r="1716" spans="1:1" x14ac:dyDescent="0.45">
      <c r="A1716" s="1">
        <v>46731</v>
      </c>
    </row>
    <row r="1717" spans="1:1" x14ac:dyDescent="0.45">
      <c r="A1717" s="1">
        <v>46732</v>
      </c>
    </row>
    <row r="1718" spans="1:1" x14ac:dyDescent="0.45">
      <c r="A1718" s="1">
        <v>46733</v>
      </c>
    </row>
    <row r="1719" spans="1:1" x14ac:dyDescent="0.45">
      <c r="A1719" s="1">
        <v>46734</v>
      </c>
    </row>
    <row r="1720" spans="1:1" x14ac:dyDescent="0.45">
      <c r="A1720" s="1">
        <v>46735</v>
      </c>
    </row>
    <row r="1721" spans="1:1" x14ac:dyDescent="0.45">
      <c r="A1721" s="1">
        <v>46736</v>
      </c>
    </row>
    <row r="1722" spans="1:1" x14ac:dyDescent="0.45">
      <c r="A1722" s="1">
        <v>46737</v>
      </c>
    </row>
    <row r="1723" spans="1:1" x14ac:dyDescent="0.45">
      <c r="A1723" s="1">
        <v>46738</v>
      </c>
    </row>
    <row r="1724" spans="1:1" x14ac:dyDescent="0.45">
      <c r="A1724" s="1">
        <v>46739</v>
      </c>
    </row>
    <row r="1725" spans="1:1" x14ac:dyDescent="0.45">
      <c r="A1725" s="1">
        <v>46740</v>
      </c>
    </row>
    <row r="1726" spans="1:1" x14ac:dyDescent="0.45">
      <c r="A1726" s="1">
        <v>46741</v>
      </c>
    </row>
    <row r="1727" spans="1:1" x14ac:dyDescent="0.45">
      <c r="A1727" s="1">
        <v>46742</v>
      </c>
    </row>
    <row r="1728" spans="1:1" x14ac:dyDescent="0.45">
      <c r="A1728" s="1">
        <v>46743</v>
      </c>
    </row>
    <row r="1729" spans="1:1" x14ac:dyDescent="0.45">
      <c r="A1729" s="1">
        <v>46744</v>
      </c>
    </row>
    <row r="1730" spans="1:1" x14ac:dyDescent="0.45">
      <c r="A1730" s="1">
        <v>46745</v>
      </c>
    </row>
    <row r="1731" spans="1:1" x14ac:dyDescent="0.45">
      <c r="A1731" s="1">
        <v>46746</v>
      </c>
    </row>
    <row r="1732" spans="1:1" x14ac:dyDescent="0.45">
      <c r="A1732" s="1">
        <v>46747</v>
      </c>
    </row>
    <row r="1733" spans="1:1" x14ac:dyDescent="0.45">
      <c r="A1733" s="1">
        <v>46748</v>
      </c>
    </row>
    <row r="1734" spans="1:1" x14ac:dyDescent="0.45">
      <c r="A1734" s="1">
        <v>46749</v>
      </c>
    </row>
    <row r="1735" spans="1:1" x14ac:dyDescent="0.45">
      <c r="A1735" s="1">
        <v>46750</v>
      </c>
    </row>
    <row r="1736" spans="1:1" x14ac:dyDescent="0.45">
      <c r="A1736" s="1">
        <v>46751</v>
      </c>
    </row>
    <row r="1737" spans="1:1" x14ac:dyDescent="0.45">
      <c r="A1737" s="1">
        <v>46752</v>
      </c>
    </row>
    <row r="1738" spans="1:1" x14ac:dyDescent="0.45">
      <c r="A1738" s="1">
        <v>46753</v>
      </c>
    </row>
    <row r="1739" spans="1:1" x14ac:dyDescent="0.45">
      <c r="A1739" s="1">
        <v>46754</v>
      </c>
    </row>
    <row r="1740" spans="1:1" x14ac:dyDescent="0.45">
      <c r="A1740" s="1">
        <v>46755</v>
      </c>
    </row>
    <row r="1741" spans="1:1" x14ac:dyDescent="0.45">
      <c r="A1741" s="1">
        <v>46756</v>
      </c>
    </row>
    <row r="1742" spans="1:1" x14ac:dyDescent="0.45">
      <c r="A1742" s="1">
        <v>46757</v>
      </c>
    </row>
    <row r="1743" spans="1:1" x14ac:dyDescent="0.45">
      <c r="A1743" s="1">
        <v>46758</v>
      </c>
    </row>
    <row r="1744" spans="1:1" x14ac:dyDescent="0.45">
      <c r="A1744" s="1">
        <v>46759</v>
      </c>
    </row>
    <row r="1745" spans="1:1" x14ac:dyDescent="0.45">
      <c r="A1745" s="1">
        <v>46760</v>
      </c>
    </row>
    <row r="1746" spans="1:1" x14ac:dyDescent="0.45">
      <c r="A1746" s="1">
        <v>46761</v>
      </c>
    </row>
    <row r="1747" spans="1:1" x14ac:dyDescent="0.45">
      <c r="A1747" s="1">
        <v>46762</v>
      </c>
    </row>
    <row r="1748" spans="1:1" x14ac:dyDescent="0.45">
      <c r="A1748" s="1">
        <v>46763</v>
      </c>
    </row>
    <row r="1749" spans="1:1" x14ac:dyDescent="0.45">
      <c r="A1749" s="1">
        <v>46764</v>
      </c>
    </row>
    <row r="1750" spans="1:1" x14ac:dyDescent="0.45">
      <c r="A1750" s="1">
        <v>46765</v>
      </c>
    </row>
    <row r="1751" spans="1:1" x14ac:dyDescent="0.45">
      <c r="A1751" s="1">
        <v>46766</v>
      </c>
    </row>
    <row r="1752" spans="1:1" x14ac:dyDescent="0.45">
      <c r="A1752" s="1">
        <v>46767</v>
      </c>
    </row>
    <row r="1753" spans="1:1" x14ac:dyDescent="0.45">
      <c r="A1753" s="1">
        <v>46768</v>
      </c>
    </row>
    <row r="1754" spans="1:1" x14ac:dyDescent="0.45">
      <c r="A1754" s="1">
        <v>46769</v>
      </c>
    </row>
    <row r="1755" spans="1:1" x14ac:dyDescent="0.45">
      <c r="A1755" s="1">
        <v>46770</v>
      </c>
    </row>
    <row r="1756" spans="1:1" x14ac:dyDescent="0.45">
      <c r="A1756" s="1">
        <v>46771</v>
      </c>
    </row>
    <row r="1757" spans="1:1" x14ac:dyDescent="0.45">
      <c r="A1757" s="1">
        <v>46772</v>
      </c>
    </row>
    <row r="1758" spans="1:1" x14ac:dyDescent="0.45">
      <c r="A1758" s="1">
        <v>46773</v>
      </c>
    </row>
    <row r="1759" spans="1:1" x14ac:dyDescent="0.45">
      <c r="A1759" s="1">
        <v>46774</v>
      </c>
    </row>
    <row r="1760" spans="1:1" x14ac:dyDescent="0.45">
      <c r="A1760" s="1">
        <v>46775</v>
      </c>
    </row>
    <row r="1761" spans="1:1" x14ac:dyDescent="0.45">
      <c r="A1761" s="1">
        <v>46776</v>
      </c>
    </row>
    <row r="1762" spans="1:1" x14ac:dyDescent="0.45">
      <c r="A1762" s="1">
        <v>46777</v>
      </c>
    </row>
    <row r="1763" spans="1:1" x14ac:dyDescent="0.45">
      <c r="A1763" s="1">
        <v>46778</v>
      </c>
    </row>
    <row r="1764" spans="1:1" x14ac:dyDescent="0.45">
      <c r="A1764" s="1">
        <v>46779</v>
      </c>
    </row>
    <row r="1765" spans="1:1" x14ac:dyDescent="0.45">
      <c r="A1765" s="1">
        <v>46780</v>
      </c>
    </row>
    <row r="1766" spans="1:1" x14ac:dyDescent="0.45">
      <c r="A1766" s="1">
        <v>46781</v>
      </c>
    </row>
    <row r="1767" spans="1:1" x14ac:dyDescent="0.45">
      <c r="A1767" s="1">
        <v>46782</v>
      </c>
    </row>
    <row r="1768" spans="1:1" x14ac:dyDescent="0.45">
      <c r="A1768" s="1">
        <v>46783</v>
      </c>
    </row>
    <row r="1769" spans="1:1" x14ac:dyDescent="0.45">
      <c r="A1769" s="1">
        <v>46784</v>
      </c>
    </row>
    <row r="1770" spans="1:1" x14ac:dyDescent="0.45">
      <c r="A1770" s="1">
        <v>46785</v>
      </c>
    </row>
    <row r="1771" spans="1:1" x14ac:dyDescent="0.45">
      <c r="A1771" s="1">
        <v>46786</v>
      </c>
    </row>
    <row r="1772" spans="1:1" x14ac:dyDescent="0.45">
      <c r="A1772" s="1">
        <v>46787</v>
      </c>
    </row>
    <row r="1773" spans="1:1" x14ac:dyDescent="0.45">
      <c r="A1773" s="1">
        <v>46788</v>
      </c>
    </row>
    <row r="1774" spans="1:1" x14ac:dyDescent="0.45">
      <c r="A1774" s="1">
        <v>46789</v>
      </c>
    </row>
    <row r="1775" spans="1:1" x14ac:dyDescent="0.45">
      <c r="A1775" s="1">
        <v>46790</v>
      </c>
    </row>
    <row r="1776" spans="1:1" x14ac:dyDescent="0.45">
      <c r="A1776" s="1">
        <v>46791</v>
      </c>
    </row>
    <row r="1777" spans="1:1" x14ac:dyDescent="0.45">
      <c r="A1777" s="1">
        <v>46792</v>
      </c>
    </row>
    <row r="1778" spans="1:1" x14ac:dyDescent="0.45">
      <c r="A1778" s="1">
        <v>46793</v>
      </c>
    </row>
    <row r="1779" spans="1:1" x14ac:dyDescent="0.45">
      <c r="A1779" s="1">
        <v>46794</v>
      </c>
    </row>
    <row r="1780" spans="1:1" x14ac:dyDescent="0.45">
      <c r="A1780" s="1">
        <v>46795</v>
      </c>
    </row>
    <row r="1781" spans="1:1" x14ac:dyDescent="0.45">
      <c r="A1781" s="1">
        <v>46796</v>
      </c>
    </row>
    <row r="1782" spans="1:1" x14ac:dyDescent="0.45">
      <c r="A1782" s="1">
        <v>46797</v>
      </c>
    </row>
    <row r="1783" spans="1:1" x14ac:dyDescent="0.45">
      <c r="A1783" s="1">
        <v>46798</v>
      </c>
    </row>
    <row r="1784" spans="1:1" x14ac:dyDescent="0.45">
      <c r="A1784" s="1">
        <v>46799</v>
      </c>
    </row>
    <row r="1785" spans="1:1" x14ac:dyDescent="0.45">
      <c r="A1785" s="1">
        <v>46800</v>
      </c>
    </row>
    <row r="1786" spans="1:1" x14ac:dyDescent="0.45">
      <c r="A1786" s="1">
        <v>46801</v>
      </c>
    </row>
    <row r="1787" spans="1:1" x14ac:dyDescent="0.45">
      <c r="A1787" s="1">
        <v>46802</v>
      </c>
    </row>
    <row r="1788" spans="1:1" x14ac:dyDescent="0.45">
      <c r="A1788" s="1">
        <v>46803</v>
      </c>
    </row>
    <row r="1789" spans="1:1" x14ac:dyDescent="0.45">
      <c r="A1789" s="1">
        <v>46804</v>
      </c>
    </row>
    <row r="1790" spans="1:1" x14ac:dyDescent="0.45">
      <c r="A1790" s="1">
        <v>46805</v>
      </c>
    </row>
    <row r="1791" spans="1:1" x14ac:dyDescent="0.45">
      <c r="A1791" s="1">
        <v>46806</v>
      </c>
    </row>
    <row r="1792" spans="1:1" x14ac:dyDescent="0.45">
      <c r="A1792" s="1">
        <v>46807</v>
      </c>
    </row>
    <row r="1793" spans="1:1" x14ac:dyDescent="0.45">
      <c r="A1793" s="1">
        <v>46808</v>
      </c>
    </row>
    <row r="1794" spans="1:1" x14ac:dyDescent="0.45">
      <c r="A1794" s="1">
        <v>46809</v>
      </c>
    </row>
    <row r="1795" spans="1:1" x14ac:dyDescent="0.45">
      <c r="A1795" s="1">
        <v>46810</v>
      </c>
    </row>
    <row r="1796" spans="1:1" x14ac:dyDescent="0.45">
      <c r="A1796" s="1">
        <v>46811</v>
      </c>
    </row>
    <row r="1797" spans="1:1" x14ac:dyDescent="0.45">
      <c r="A1797" s="1">
        <v>46812</v>
      </c>
    </row>
    <row r="1798" spans="1:1" x14ac:dyDescent="0.45">
      <c r="A1798" s="1">
        <v>46813</v>
      </c>
    </row>
    <row r="1799" spans="1:1" x14ac:dyDescent="0.45">
      <c r="A1799" s="1">
        <v>46814</v>
      </c>
    </row>
    <row r="1800" spans="1:1" x14ac:dyDescent="0.45">
      <c r="A1800" s="1">
        <v>46815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3B96F-5AC9-4210-A966-2F74C666D241}">
  <dimension ref="A1:N14"/>
  <sheetViews>
    <sheetView workbookViewId="0">
      <selection activeCell="N9" sqref="N9"/>
    </sheetView>
  </sheetViews>
  <sheetFormatPr defaultRowHeight="14.25" x14ac:dyDescent="0.45"/>
  <cols>
    <col min="1" max="1" width="10.73046875" bestFit="1" customWidth="1"/>
    <col min="2" max="2" width="6.59765625" style="11" customWidth="1"/>
    <col min="3" max="3" width="30.3984375" customWidth="1"/>
    <col min="4" max="4" width="16" customWidth="1"/>
    <col min="5" max="5" width="19.3984375" customWidth="1"/>
    <col min="6" max="6" width="20.73046875" customWidth="1"/>
    <col min="7" max="7" width="6.59765625" style="11" customWidth="1"/>
    <col min="8" max="8" width="16.1328125" bestFit="1" customWidth="1"/>
    <col min="10" max="10" width="6.59765625" style="12" customWidth="1"/>
    <col min="12" max="12" width="6.59765625" style="12" customWidth="1"/>
    <col min="13" max="13" width="25.265625" style="28" bestFit="1" customWidth="1"/>
    <col min="14" max="14" width="16.9296875" style="28" customWidth="1"/>
  </cols>
  <sheetData>
    <row r="1" spans="1:14" ht="42.75" x14ac:dyDescent="0.45">
      <c r="C1" t="s">
        <v>58</v>
      </c>
      <c r="D1" t="s">
        <v>59</v>
      </c>
      <c r="E1" t="s">
        <v>60</v>
      </c>
      <c r="F1" t="s">
        <v>61</v>
      </c>
      <c r="H1" s="4" t="s">
        <v>62</v>
      </c>
      <c r="I1" s="4" t="s">
        <v>63</v>
      </c>
      <c r="K1" s="4" t="s">
        <v>10</v>
      </c>
      <c r="M1" s="27" t="s">
        <v>79</v>
      </c>
      <c r="N1" s="27" t="s">
        <v>82</v>
      </c>
    </row>
    <row r="2" spans="1:14" x14ac:dyDescent="0.45">
      <c r="A2" s="3">
        <f>36000*2000</f>
        <v>72000000</v>
      </c>
      <c r="C2" t="s">
        <v>16</v>
      </c>
      <c r="D2" s="8">
        <v>35.605606927906003</v>
      </c>
      <c r="E2">
        <v>-77.373698010034701</v>
      </c>
      <c r="F2">
        <f>5.7*2</f>
        <v>11.4</v>
      </c>
      <c r="H2" t="s">
        <v>64</v>
      </c>
      <c r="I2">
        <v>8</v>
      </c>
      <c r="K2" t="s">
        <v>17</v>
      </c>
      <c r="M2" s="28" t="s">
        <v>80</v>
      </c>
      <c r="N2">
        <f>5.7*2</f>
        <v>11.4</v>
      </c>
    </row>
    <row r="3" spans="1:14" x14ac:dyDescent="0.45">
      <c r="A3" s="3">
        <f>A2*12</f>
        <v>864000000</v>
      </c>
      <c r="C3" t="s">
        <v>65</v>
      </c>
      <c r="D3">
        <v>35.582406397709597</v>
      </c>
      <c r="E3">
        <v>-77.373526348507994</v>
      </c>
      <c r="H3" t="s">
        <v>66</v>
      </c>
      <c r="I3">
        <v>7</v>
      </c>
      <c r="K3" t="s">
        <v>5</v>
      </c>
      <c r="M3" s="28" t="s">
        <v>81</v>
      </c>
      <c r="N3">
        <v>13.5</v>
      </c>
    </row>
    <row r="4" spans="1:14" x14ac:dyDescent="0.45">
      <c r="C4" t="s">
        <v>67</v>
      </c>
      <c r="D4">
        <v>35.605978663520901</v>
      </c>
      <c r="E4">
        <v>-77.413780356849799</v>
      </c>
      <c r="K4" t="s">
        <v>18</v>
      </c>
      <c r="M4" s="28" t="s">
        <v>83</v>
      </c>
      <c r="N4">
        <v>19.5</v>
      </c>
    </row>
    <row r="5" spans="1:14" x14ac:dyDescent="0.45">
      <c r="C5" t="s">
        <v>68</v>
      </c>
      <c r="D5">
        <v>35.567507222964302</v>
      </c>
      <c r="E5">
        <v>-77.349322094113603</v>
      </c>
      <c r="M5" s="28" t="s">
        <v>84</v>
      </c>
      <c r="N5" s="7">
        <v>7.5</v>
      </c>
    </row>
    <row r="6" spans="1:14" x14ac:dyDescent="0.45">
      <c r="C6" t="s">
        <v>69</v>
      </c>
      <c r="D6">
        <v>35.551994788441597</v>
      </c>
      <c r="E6">
        <v>-77.405798687937306</v>
      </c>
      <c r="M6" s="28" t="s">
        <v>85</v>
      </c>
      <c r="N6">
        <v>1.9</v>
      </c>
    </row>
    <row r="7" spans="1:14" x14ac:dyDescent="0.45">
      <c r="C7" t="s">
        <v>70</v>
      </c>
      <c r="M7" s="28" t="s">
        <v>86</v>
      </c>
      <c r="N7">
        <v>13.7</v>
      </c>
    </row>
    <row r="8" spans="1:14" x14ac:dyDescent="0.45">
      <c r="M8" s="28" t="s">
        <v>114</v>
      </c>
      <c r="N8">
        <v>7.5</v>
      </c>
    </row>
    <row r="9" spans="1:14" x14ac:dyDescent="0.45">
      <c r="N9"/>
    </row>
    <row r="10" spans="1:14" x14ac:dyDescent="0.45">
      <c r="N10"/>
    </row>
    <row r="11" spans="1:14" x14ac:dyDescent="0.45">
      <c r="N11"/>
    </row>
    <row r="12" spans="1:14" x14ac:dyDescent="0.45">
      <c r="N12"/>
    </row>
    <row r="13" spans="1:14" x14ac:dyDescent="0.45">
      <c r="N13"/>
    </row>
    <row r="14" spans="1:14" x14ac:dyDescent="0.45">
      <c r="N14"/>
    </row>
  </sheetData>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1F7658-1DDA-4BD2-8BE6-FB0A2A6CDC70}">
  <ds:schemaRefs>
    <ds:schemaRef ds:uri="http://schemas.microsoft.com/DataMashup"/>
  </ds:schemaRefs>
</ds:datastoreItem>
</file>

<file path=docMetadata/LabelInfo.xml><?xml version="1.0" encoding="utf-8"?>
<clbl:labelList xmlns:clbl="http://schemas.microsoft.com/office/2020/mipLabelMetadata">
  <clbl:label id="{1a52584d-ac98-46b5-b716-447f86f3ab44}" enabled="1" method="Standard" siteId="{ee69be27-d938-4eb5-8711-c5e69ca4371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Collection DB</vt:lpstr>
      <vt:lpstr>Coffee Grounds Stats</vt:lpstr>
      <vt:lpstr>Sheet2</vt:lpstr>
      <vt:lpstr>Master Gardener</vt:lpstr>
      <vt:lpstr>Sheet1</vt:lpstr>
      <vt:lpstr>Calendar Scaffold</vt:lpstr>
      <vt:lpstr>Dropdown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Calderon</dc:creator>
  <cp:keywords/>
  <dc:description/>
  <cp:lastModifiedBy>Christopher Calderon</cp:lastModifiedBy>
  <cp:revision/>
  <dcterms:created xsi:type="dcterms:W3CDTF">2023-04-25T15:43:44Z</dcterms:created>
  <dcterms:modified xsi:type="dcterms:W3CDTF">2026-08-03T22:27:54Z</dcterms:modified>
  <cp:category/>
  <cp:contentStatus/>
</cp:coreProperties>
</file>